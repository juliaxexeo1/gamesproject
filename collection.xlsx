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0f04b591c4d9ea/Documentos/gamesproject/"/>
    </mc:Choice>
  </mc:AlternateContent>
  <xr:revisionPtr revIDLastSave="40" documentId="8_{B9429553-6AFB-4FD4-8A73-9F52F6A09FF6}" xr6:coauthVersionLast="47" xr6:coauthVersionMax="47" xr10:uidLastSave="{CA4E366E-B7DA-4BC2-A8EA-14E4D5539941}"/>
  <bookViews>
    <workbookView xWindow="-120" yWindow="-120" windowWidth="29040" windowHeight="15720" xr2:uid="{12B03056-8D49-47A5-988F-0F364B049FFD}"/>
  </bookViews>
  <sheets>
    <sheet name="collection" sheetId="1" r:id="rId1"/>
    <sheet name="Sheet1" sheetId="2" r:id="rId2"/>
  </sheets>
  <definedNames>
    <definedName name="_xlnm._FilterDatabase" localSheetId="0" hidden="1">collection!$A$1:$AB$69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</calcChain>
</file>

<file path=xl/sharedStrings.xml><?xml version="1.0" encoding="utf-8"?>
<sst xmlns="http://schemas.openxmlformats.org/spreadsheetml/2006/main" count="862" uniqueCount="287">
  <si>
    <t>objectname</t>
  </si>
  <si>
    <t>rating</t>
  </si>
  <si>
    <t>own</t>
  </si>
  <si>
    <t>wishlistpriority</t>
  </si>
  <si>
    <t>wishlistcomment</t>
  </si>
  <si>
    <t>comment</t>
  </si>
  <si>
    <t>collid</t>
  </si>
  <si>
    <t>baverage</t>
  </si>
  <si>
    <t>average</t>
  </si>
  <si>
    <t>avgweight</t>
  </si>
  <si>
    <t>rank</t>
  </si>
  <si>
    <t>numowned</t>
  </si>
  <si>
    <t>objecttype</t>
  </si>
  <si>
    <t>originalname</t>
  </si>
  <si>
    <t>minplayers</t>
  </si>
  <si>
    <t>maxplayers</t>
  </si>
  <si>
    <t>playingtime</t>
  </si>
  <si>
    <t>maxplaytime</t>
  </si>
  <si>
    <t>minplaytime</t>
  </si>
  <si>
    <t>yearpublished</t>
  </si>
  <si>
    <t>bggrecplayers</t>
  </si>
  <si>
    <t>bggbestplayers</t>
  </si>
  <si>
    <t>bggrecagerange</t>
  </si>
  <si>
    <t>bgglanguagedependence</t>
  </si>
  <si>
    <t>tag1</t>
  </si>
  <si>
    <t>tag2</t>
  </si>
  <si>
    <t>tag3</t>
  </si>
  <si>
    <t>tag4</t>
  </si>
  <si>
    <t>100 Swords: The Blue Mammoth's Dungeon</t>
  </si>
  <si>
    <t>1.5</t>
  </si>
  <si>
    <t>thing</t>
  </si>
  <si>
    <t>6+</t>
  </si>
  <si>
    <t>Some necessary text - easily memorized or small crib sheet</t>
  </si>
  <si>
    <t>100 Swords: The Red Dragon's Dungeon</t>
  </si>
  <si>
    <t>8+</t>
  </si>
  <si>
    <t>Moderate in-game text - needs crib sheet or paste ups</t>
  </si>
  <si>
    <t>7 Wonders</t>
  </si>
  <si>
    <t>Muito bom se jogado com 7 pessoas, demora um pouco mais complicadinho</t>
  </si>
  <si>
    <t>3,4,5,6,7</t>
  </si>
  <si>
    <t>10+</t>
  </si>
  <si>
    <t>No necessary in-game text</t>
  </si>
  <si>
    <t>Azul</t>
  </si>
  <si>
    <t>Bonitinho</t>
  </si>
  <si>
    <t>2,3,4</t>
  </si>
  <si>
    <t>Bandido</t>
  </si>
  <si>
    <t>Simples de jogar, rápido , poderia ser jogado com cartas também</t>
  </si>
  <si>
    <t>1,2,3,4</t>
  </si>
  <si>
    <t>BANG! The Bullet!</t>
  </si>
  <si>
    <t>Tem nome de bala e a caixa é em formato de bala, mas eu não lembro como joga</t>
  </si>
  <si>
    <t>4,5,6,7,8</t>
  </si>
  <si>
    <t>Carcassonne</t>
  </si>
  <si>
    <t>Cardcassonne</t>
  </si>
  <si>
    <t>3,4,5</t>
  </si>
  <si>
    <t>Cartographers</t>
  </si>
  <si>
    <t>Não me lembro</t>
  </si>
  <si>
    <t>1,2,3,4,5,6,7,8</t>
  </si>
  <si>
    <t>CATAN</t>
  </si>
  <si>
    <t>Muito legal, gera alguma intriga, dura uns 30 minutos.</t>
  </si>
  <si>
    <t>Citadels</t>
  </si>
  <si>
    <t>Monte sua citadezinha, uma graça</t>
  </si>
  <si>
    <t>2,3,4,5,6,7</t>
  </si>
  <si>
    <t>Class Struggle</t>
  </si>
  <si>
    <t>4,5,6</t>
  </si>
  <si>
    <t>Coloretto</t>
  </si>
  <si>
    <t>Facil e simples , acho</t>
  </si>
  <si>
    <t>2,3,4,5</t>
  </si>
  <si>
    <t>Coup</t>
  </si>
  <si>
    <t>O favorito de muitos, melhor jogo de blefe, rápido e inteligente</t>
  </si>
  <si>
    <t>3,4,5,6</t>
  </si>
  <si>
    <t>Dominion</t>
  </si>
  <si>
    <t>Meu favorito da vida, não é rápido mas é muito legal.</t>
  </si>
  <si>
    <t>Five Crowns</t>
  </si>
  <si>
    <t>Fluxx</t>
  </si>
  <si>
    <t>Simples, as regras são auto-explicativas, mas a versão zoombie é mais legal</t>
  </si>
  <si>
    <t>2,3,4,5,6</t>
  </si>
  <si>
    <t>Extensive use of text - massive conversion needed to be playable</t>
  </si>
  <si>
    <t>Forbidden Desert</t>
  </si>
  <si>
    <t>Jogo colaborativo que deixa todo mundo nervoso, é melhor começar jogando pelo forbiden island, mas ambos são muito legais</t>
  </si>
  <si>
    <t>1,2,3,4,5</t>
  </si>
  <si>
    <t>Forbidden Island</t>
  </si>
  <si>
    <t>Jogo colaborativo</t>
  </si>
  <si>
    <t>Futebox</t>
  </si>
  <si>
    <t>Sei lá</t>
  </si>
  <si>
    <t>5.6</t>
  </si>
  <si>
    <t>The Game + The Game on Fire</t>
  </si>
  <si>
    <t>Não me lembro, boatos que é O Jogo</t>
  </si>
  <si>
    <t>Ghosts</t>
  </si>
  <si>
    <t>Buuu</t>
  </si>
  <si>
    <t>Go</t>
  </si>
  <si>
    <t>Gracias</t>
  </si>
  <si>
    <t>Agradeça sempre</t>
  </si>
  <si>
    <t>Guillotine</t>
  </si>
  <si>
    <t>Hanabi</t>
  </si>
  <si>
    <t>Jogo colaborativo , rápido de fogos de artificio</t>
  </si>
  <si>
    <t>Haunted Castle</t>
  </si>
  <si>
    <t>4â€“10</t>
  </si>
  <si>
    <t>Hive</t>
  </si>
  <si>
    <t>AMO, lembra um Xadrez, pq é de 2, mas é muito mais legal e rápido</t>
  </si>
  <si>
    <t>IceDice</t>
  </si>
  <si>
    <t>Kapital!</t>
  </si>
  <si>
    <t>Jogo de comunista?</t>
  </si>
  <si>
    <t>14+</t>
  </si>
  <si>
    <t>King of Tokyo</t>
  </si>
  <si>
    <t>Kingdomino</t>
  </si>
  <si>
    <t>Machi Koro</t>
  </si>
  <si>
    <t>Masmorra de DADOS</t>
  </si>
  <si>
    <t>2.5</t>
  </si>
  <si>
    <t>12+</t>
  </si>
  <si>
    <t>Memoir '44</t>
  </si>
  <si>
    <t>Monopoly Deal Card Game</t>
  </si>
  <si>
    <t>Monopoly mais simples , gosto bastante , rápido e prático</t>
  </si>
  <si>
    <t>MOW</t>
  </si>
  <si>
    <t>MUUUU</t>
  </si>
  <si>
    <t>Munchkin</t>
  </si>
  <si>
    <t>Once Upon a Time: Dark Tales</t>
  </si>
  <si>
    <t>Dadinhos para contar história</t>
  </si>
  <si>
    <t>Once Upon a Time: The Storytelling Card Game</t>
  </si>
  <si>
    <t>Pandemic</t>
  </si>
  <si>
    <t>Potato Pirates</t>
  </si>
  <si>
    <t>Puerto Rico</t>
  </si>
  <si>
    <t>Quarriors!</t>
  </si>
  <si>
    <t>Robin Hood</t>
  </si>
  <si>
    <t>RoboRally</t>
  </si>
  <si>
    <t>3,4,5,6,7,8</t>
  </si>
  <si>
    <t>Rory's Story Cubes</t>
  </si>
  <si>
    <t>1,2,3,4,5,6</t>
  </si>
  <si>
    <t>4+</t>
  </si>
  <si>
    <t>Samurai Sword</t>
  </si>
  <si>
    <t>5,6,7</t>
  </si>
  <si>
    <t>Seven Bridges</t>
  </si>
  <si>
    <t>Sirvam o Rei</t>
  </si>
  <si>
    <t>Pode ser jogado com um baralho tmabem, rápido e legal</t>
  </si>
  <si>
    <t>Small World</t>
  </si>
  <si>
    <t>Summoner Wars</t>
  </si>
  <si>
    <t>Takenoko</t>
  </si>
  <si>
    <t>Lindo, tem pandinha</t>
  </si>
  <si>
    <t>Talisman: Revised 4th Edition</t>
  </si>
  <si>
    <t>Tango</t>
  </si>
  <si>
    <t>Tenzi</t>
  </si>
  <si>
    <t>5+</t>
  </si>
  <si>
    <t>Ticket to Ride</t>
  </si>
  <si>
    <t>Jogo do trenzinho, devagar mas amo</t>
  </si>
  <si>
    <t>Timeline: Inventions</t>
  </si>
  <si>
    <t>2,3,4,5,6,7,8</t>
  </si>
  <si>
    <t>Timeline: Science &amp; Discoveries</t>
  </si>
  <si>
    <t>Jogo de adivinhar o momento em que cada coisa surgiu, da para muita gente jogar e gera conversa</t>
  </si>
  <si>
    <t>TKO</t>
  </si>
  <si>
    <t>UNO</t>
  </si>
  <si>
    <t>Classico, se você não sabe jogar, ta errado</t>
  </si>
  <si>
    <t>O Vale dos Monstros</t>
  </si>
  <si>
    <t>Zombie Fluxx</t>
  </si>
  <si>
    <t>Porrada</t>
  </si>
  <si>
    <t>Jungle Speed</t>
  </si>
  <si>
    <t>Jogo de porradaria, pode confiar</t>
  </si>
  <si>
    <t>ACHEI</t>
  </si>
  <si>
    <t>Versão barata do spotit, tem que ver o que é igual entre duas cartas. Rápido</t>
  </si>
  <si>
    <t>DIX IT</t>
  </si>
  <si>
    <t>Jogo para jogar com a galera</t>
  </si>
  <si>
    <t>LOOP</t>
  </si>
  <si>
    <t>The resistence</t>
  </si>
  <si>
    <t>o jogo dos papeis que esqueci o nome</t>
  </si>
  <si>
    <t>Spot it</t>
  </si>
  <si>
    <t>UNO NO MERCY!</t>
  </si>
  <si>
    <t>Uno para quem tem ódio, com cartas para comprar mais 10.</t>
  </si>
  <si>
    <t>Xadrez</t>
  </si>
  <si>
    <t>War CARDS</t>
  </si>
  <si>
    <t>Baralho</t>
  </si>
  <si>
    <t>Super trunfo</t>
  </si>
  <si>
    <t>The Resistance</t>
  </si>
  <si>
    <t>Tensão Total</t>
  </si>
  <si>
    <t>Stratego</t>
  </si>
  <si>
    <t>Pictureka</t>
  </si>
  <si>
    <t>Munchkin Zombies</t>
  </si>
  <si>
    <t>Mouse Maze</t>
  </si>
  <si>
    <t>Jogo da aposta</t>
  </si>
  <si>
    <t>Hive Carbon</t>
  </si>
  <si>
    <t>Dobble</t>
  </si>
  <si>
    <t>Dixit Odyssey</t>
  </si>
  <si>
    <t>Deep Sea Adventure</t>
  </si>
  <si>
    <t>Convocados</t>
  </si>
  <si>
    <t>Combate cartas</t>
  </si>
  <si>
    <t>Color Addict</t>
  </si>
  <si>
    <t>Clue suspeitos</t>
  </si>
  <si>
    <t>Cartógrafos</t>
  </si>
  <si>
    <t>Cadê?</t>
  </si>
  <si>
    <t>7 Wonders Dual</t>
  </si>
  <si>
    <t>Loup Garrous</t>
  </si>
  <si>
    <t>Zombie Flux</t>
  </si>
  <si>
    <t>Sirvam o rei</t>
  </si>
  <si>
    <t>Fibonachos</t>
  </si>
  <si>
    <t>Kariba</t>
  </si>
  <si>
    <t>Unstable Unicorns</t>
  </si>
  <si>
    <t>Zueira</t>
  </si>
  <si>
    <t>Monopoly deal</t>
  </si>
  <si>
    <t>Red 7</t>
  </si>
  <si>
    <t>Time Line</t>
  </si>
  <si>
    <t>Mow</t>
  </si>
  <si>
    <t>Bang</t>
  </si>
  <si>
    <t>Uno</t>
  </si>
  <si>
    <t>Uno No Mercy!</t>
  </si>
  <si>
    <t>King Of Tokio</t>
  </si>
  <si>
    <t>Mafia</t>
  </si>
  <si>
    <t>Classico</t>
  </si>
  <si>
    <t>Jogo de confronto com cartas inspirado em WAR.</t>
  </si>
  <si>
    <t>Baralho tradicional para múltiplos jogos.</t>
  </si>
  <si>
    <t>Jogo de comparação de atributos.</t>
  </si>
  <si>
    <t>Rotas ferroviárias e coleção de cartas, jogo do trenzinho</t>
  </si>
  <si>
    <t>Dedução social com espiões. Estilo secret hittler, bom de jogar com bastante gente.</t>
  </si>
  <si>
    <t>Blefe e risco por tesouros.</t>
  </si>
  <si>
    <t>Estratégia de guerra e bandeira.</t>
  </si>
  <si>
    <t>Achar objetos em caos ilustrado.</t>
  </si>
  <si>
    <t>Cooperativo de salvar o mundo.</t>
  </si>
  <si>
    <t>Controle de área com monstros.</t>
  </si>
  <si>
    <t>Dungeon caótica com humor.</t>
  </si>
  <si>
    <t>Labirinto e coleção.</t>
  </si>
  <si>
    <t>Construção de cidade com dados.</t>
  </si>
  <si>
    <t>Dominó com construção de reino.</t>
  </si>
  <si>
    <t>Jogo de apostas leve.</t>
  </si>
  <si>
    <t>Mais legal e rápido que Xadrez, mas no fundo lembra um Xadrez com insetos</t>
  </si>
  <si>
    <t>Cooperativo de sobrevivência em uma ilha afundando</t>
  </si>
  <si>
    <t>Cooperativo de sobrevivência no deserto.</t>
  </si>
  <si>
    <t>Quase um buraco, mas mais confuso</t>
  </si>
  <si>
    <t>Jogo de Deckbuilding, Meu jogo favorito</t>
  </si>
  <si>
    <t>Velocidade e percepção visual. Muito fácil</t>
  </si>
  <si>
    <t>Imaginativo e visual. Bom com muita gente, muito fácil</t>
  </si>
  <si>
    <t>Push-your-luck submarino.</t>
  </si>
  <si>
    <t>Jogo de blefe rápido e fácil, no meu top 5 certeza</t>
  </si>
  <si>
    <t>Jogo de futebol em cartas.</t>
  </si>
  <si>
    <t>Confronto leve de cartas.</t>
  </si>
  <si>
    <t>Descartar por cor ou palavra, muito rápido, bem fácil</t>
  </si>
  <si>
    <t>Versão reduzida de Clue.</t>
  </si>
  <si>
    <t>Construção e papéis ocultos.</t>
  </si>
  <si>
    <t>Jogo para montar seu mapa, da para jogar com muita ou pouca gente</t>
  </si>
  <si>
    <t>Carcassonne em cartas.</t>
  </si>
  <si>
    <t>Tile placement clássico.</t>
  </si>
  <si>
    <t>Igual a dobble, mas é uma versão barata da Amazon</t>
  </si>
  <si>
    <t>Jogo de mosaicos de estratégia, o jogo é lindo e é bom</t>
  </si>
  <si>
    <t>Civilizações para dois.</t>
  </si>
  <si>
    <t>Civilizações com draft. Muito bom se jogado com 7 pessoas</t>
  </si>
  <si>
    <t>Blefe estilo Lobisomem/Lobo (Cidade dorme)</t>
  </si>
  <si>
    <t>Versão zumbi do Fluxx, Regras mudam o tempo todo, mas muito fácil de jogar</t>
  </si>
  <si>
    <t>Coleção de cores elegante.</t>
  </si>
  <si>
    <t>Cooperativo com mão virada pra fora. Muito bom com 5 jogadores</t>
  </si>
  <si>
    <t>Poderia ser jogado com baralho também, rápido e fácil de entender</t>
  </si>
  <si>
    <t>Regras mudam o tempo todo.</t>
  </si>
  <si>
    <t>Interessante, jogo de vazas.</t>
  </si>
  <si>
    <t>Animais e maiorias. Fácil de entender lendo as regras</t>
  </si>
  <si>
    <t>Unicórnios e caos competitivo.</t>
  </si>
  <si>
    <t>Da para jogar com times, jogo para adivinhar com mimicas, frases etc..</t>
  </si>
  <si>
    <t>Monopoly rápido e divertido.</t>
  </si>
  <si>
    <t>Regras que mudam ao jogar.</t>
  </si>
  <si>
    <t xml:space="preserve">Ordenar eventos históricos. </t>
  </si>
  <si>
    <t>Moscas, Vacas e cartas.</t>
  </si>
  <si>
    <t>Faroeste com papéis ocultos.</t>
  </si>
  <si>
    <t>Versão agressiva do Uno.</t>
  </si>
  <si>
    <t>Panda comendo bambu.</t>
  </si>
  <si>
    <t>Monstros + dados + caos.</t>
  </si>
  <si>
    <t>Reflexo com totem. Jogo de Porradaria</t>
  </si>
  <si>
    <t>Metade é assaltante, metade policial, jogo de blefe. Muito bom se jogado com bastante gente, as regras parecem mais caoticas do que são, qualquer coisa peçam para o Ney explicar</t>
  </si>
  <si>
    <t>Clássico</t>
  </si>
  <si>
    <t>Filler</t>
  </si>
  <si>
    <t>Família</t>
  </si>
  <si>
    <t>Blefe</t>
  </si>
  <si>
    <t>Estratégia</t>
  </si>
  <si>
    <t>Cooperativo</t>
  </si>
  <si>
    <t>Caos</t>
  </si>
  <si>
    <t>Party</t>
  </si>
  <si>
    <t>30-60 min</t>
  </si>
  <si>
    <t>20-40 min</t>
  </si>
  <si>
    <t>Variável</t>
  </si>
  <si>
    <t>10-15 min</t>
  </si>
  <si>
    <t>45-60 min</t>
  </si>
  <si>
    <t>30 min</t>
  </si>
  <si>
    <t>30-45 min</t>
  </si>
  <si>
    <t>20-30 min</t>
  </si>
  <si>
    <t>45 min</t>
  </si>
  <si>
    <t>60-90 min</t>
  </si>
  <si>
    <t>15-20 min</t>
  </si>
  <si>
    <t>20 min</t>
  </si>
  <si>
    <t>15 min</t>
  </si>
  <si>
    <t>10-30 min</t>
  </si>
  <si>
    <t>25 min</t>
  </si>
  <si>
    <t>5-15 min</t>
  </si>
  <si>
    <t>60 min</t>
  </si>
  <si>
    <t>40 min</t>
  </si>
  <si>
    <t>90 min</t>
  </si>
  <si>
    <t>itemtype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</si>
</sst>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B48EC-7E1E-472B-AEF1-E84F33CD6187}">
  <dimension ref="A1:AB71"/>
  <sheetViews>
    <sheetView tabSelected="1" topLeftCell="B1" workbookViewId="0">
      <selection activeCell="M1" sqref="M1"/>
    </sheetView>
  </sheetViews>
  <sheetFormatPr defaultRowHeight="15" x14ac:dyDescent="0.25"/>
  <cols>
    <col min="1" max="1" width="42.5703125" bestFit="1" customWidth="1"/>
    <col min="2" max="2" width="6.140625" bestFit="1" customWidth="1"/>
    <col min="3" max="3" width="4.7109375" bestFit="1" customWidth="1"/>
    <col min="4" max="4" width="14.28515625" bestFit="1" customWidth="1"/>
    <col min="5" max="5" width="16.28515625" bestFit="1" customWidth="1"/>
    <col min="6" max="6" width="116.85546875" bestFit="1" customWidth="1"/>
    <col min="7" max="7" width="12.7109375" bestFit="1" customWidth="1"/>
    <col min="8" max="9" width="10.140625" bestFit="1" customWidth="1"/>
    <col min="10" max="10" width="9.7109375" bestFit="1" customWidth="1"/>
    <col min="11" max="11" width="9.140625" bestFit="1" customWidth="1"/>
    <col min="12" max="12" width="10.85546875" bestFit="1" customWidth="1"/>
    <col min="13" max="13" width="10" bestFit="1" customWidth="1"/>
    <col min="14" max="14" width="42.5703125" bestFit="1" customWidth="1"/>
    <col min="15" max="15" width="10.85546875" bestFit="1" customWidth="1"/>
    <col min="16" max="16" width="11.140625" bestFit="1" customWidth="1"/>
    <col min="17" max="17" width="11.28515625" bestFit="1" customWidth="1"/>
    <col min="18" max="18" width="12.28515625" bestFit="1" customWidth="1"/>
    <col min="19" max="19" width="12" bestFit="1" customWidth="1"/>
    <col min="20" max="20" width="13.7109375" bestFit="1" customWidth="1"/>
    <col min="21" max="21" width="13.42578125" bestFit="1" customWidth="1"/>
    <col min="22" max="22" width="14.42578125" bestFit="1" customWidth="1"/>
    <col min="23" max="23" width="15.140625" bestFit="1" customWidth="1"/>
    <col min="24" max="24" width="58.28515625" bestFit="1" customWidth="1"/>
    <col min="25" max="25" width="8.140625" bestFit="1" customWidth="1"/>
    <col min="26" max="28" width="4.71093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  <c r="J1" t="s">
        <v>9</v>
      </c>
      <c r="K1" s="2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286</v>
      </c>
      <c r="Z1" t="s">
        <v>25</v>
      </c>
      <c r="AA1" t="s">
        <v>26</v>
      </c>
      <c r="AB1" t="s">
        <v>27</v>
      </c>
    </row>
    <row r="2" spans="1:28" x14ac:dyDescent="0.25">
      <c r="A2" s="2" t="s">
        <v>164</v>
      </c>
      <c r="B2">
        <v>1000</v>
      </c>
      <c r="C2">
        <v>1</v>
      </c>
      <c r="F2" t="s">
        <v>202</v>
      </c>
      <c r="G2" s="2"/>
      <c r="H2" s="2"/>
      <c r="I2" s="2"/>
      <c r="K2" s="2"/>
      <c r="L2" s="2"/>
      <c r="M2" t="s">
        <v>259</v>
      </c>
      <c r="N2" s="2" t="s">
        <v>164</v>
      </c>
      <c r="O2" s="3">
        <v>2</v>
      </c>
      <c r="P2">
        <v>2</v>
      </c>
      <c r="Q2" t="s">
        <v>267</v>
      </c>
      <c r="R2">
        <v>30</v>
      </c>
      <c r="S2" t="s">
        <v>283</v>
      </c>
      <c r="Y2" t="s">
        <v>259</v>
      </c>
    </row>
    <row r="3" spans="1:28" x14ac:dyDescent="0.25">
      <c r="A3" s="2" t="s">
        <v>165</v>
      </c>
      <c r="B3">
        <f>B2-1</f>
        <v>999</v>
      </c>
      <c r="C3">
        <v>1</v>
      </c>
      <c r="F3" t="s">
        <v>203</v>
      </c>
      <c r="G3" s="2"/>
      <c r="H3" s="2"/>
      <c r="I3" s="2"/>
      <c r="J3" s="1"/>
      <c r="K3" s="2"/>
      <c r="L3" s="2"/>
      <c r="M3" t="s">
        <v>260</v>
      </c>
      <c r="N3" s="2" t="s">
        <v>165</v>
      </c>
      <c r="O3" s="3">
        <v>2</v>
      </c>
      <c r="P3">
        <v>6</v>
      </c>
      <c r="Q3" t="s">
        <v>268</v>
      </c>
      <c r="R3">
        <v>20</v>
      </c>
      <c r="S3" t="s">
        <v>284</v>
      </c>
      <c r="Y3" t="s">
        <v>260</v>
      </c>
    </row>
    <row r="4" spans="1:28" x14ac:dyDescent="0.25">
      <c r="A4" s="2" t="s">
        <v>166</v>
      </c>
      <c r="B4">
        <f t="shared" ref="B4:B59" si="0">B3-1</f>
        <v>998</v>
      </c>
      <c r="C4">
        <v>1</v>
      </c>
      <c r="F4" t="s">
        <v>204</v>
      </c>
      <c r="G4" s="2"/>
      <c r="H4" s="2"/>
      <c r="I4" s="2"/>
      <c r="J4" s="1"/>
      <c r="K4" s="2"/>
      <c r="L4" s="2"/>
      <c r="M4" t="s">
        <v>259</v>
      </c>
      <c r="N4" s="2" t="s">
        <v>166</v>
      </c>
      <c r="O4" s="3">
        <v>1</v>
      </c>
      <c r="P4">
        <v>8</v>
      </c>
      <c r="Q4" t="s">
        <v>269</v>
      </c>
      <c r="R4" t="s">
        <v>269</v>
      </c>
      <c r="Y4" t="s">
        <v>259</v>
      </c>
    </row>
    <row r="5" spans="1:28" x14ac:dyDescent="0.25">
      <c r="A5" s="2" t="s">
        <v>167</v>
      </c>
      <c r="B5">
        <f t="shared" si="0"/>
        <v>997</v>
      </c>
      <c r="C5">
        <v>1</v>
      </c>
      <c r="F5" t="s">
        <v>205</v>
      </c>
      <c r="G5" s="2"/>
      <c r="H5" s="2"/>
      <c r="I5" s="2"/>
      <c r="J5" s="1"/>
      <c r="K5" s="2"/>
      <c r="L5" s="2"/>
      <c r="M5" t="s">
        <v>261</v>
      </c>
      <c r="N5" s="2" t="s">
        <v>167</v>
      </c>
      <c r="O5" s="3">
        <v>2</v>
      </c>
      <c r="P5">
        <v>6</v>
      </c>
      <c r="Q5" t="s">
        <v>270</v>
      </c>
      <c r="R5">
        <v>10</v>
      </c>
      <c r="S5" t="s">
        <v>279</v>
      </c>
      <c r="Y5" t="s">
        <v>261</v>
      </c>
    </row>
    <row r="6" spans="1:28" x14ac:dyDescent="0.25">
      <c r="A6" s="2" t="s">
        <v>140</v>
      </c>
      <c r="B6">
        <f t="shared" si="0"/>
        <v>996</v>
      </c>
      <c r="C6">
        <v>1</v>
      </c>
      <c r="F6" t="s">
        <v>206</v>
      </c>
      <c r="G6" s="2"/>
      <c r="H6" s="2"/>
      <c r="I6" s="2"/>
      <c r="J6" s="1"/>
      <c r="K6" s="2"/>
      <c r="L6" s="2"/>
      <c r="M6" t="s">
        <v>261</v>
      </c>
      <c r="N6" s="2" t="s">
        <v>140</v>
      </c>
      <c r="O6" s="3">
        <v>2</v>
      </c>
      <c r="P6">
        <v>5</v>
      </c>
      <c r="Q6" t="s">
        <v>271</v>
      </c>
      <c r="R6">
        <v>45</v>
      </c>
      <c r="S6" t="s">
        <v>283</v>
      </c>
      <c r="Y6" t="s">
        <v>261</v>
      </c>
    </row>
    <row r="7" spans="1:28" x14ac:dyDescent="0.25">
      <c r="A7" s="2" t="s">
        <v>168</v>
      </c>
      <c r="B7">
        <f t="shared" si="0"/>
        <v>995</v>
      </c>
      <c r="C7">
        <v>1</v>
      </c>
      <c r="F7" t="s">
        <v>207</v>
      </c>
      <c r="G7" s="2"/>
      <c r="H7" s="2"/>
      <c r="I7" s="2"/>
      <c r="J7" s="1"/>
      <c r="K7" s="2"/>
      <c r="L7" s="2"/>
      <c r="M7" t="s">
        <v>262</v>
      </c>
      <c r="N7" s="2" t="s">
        <v>168</v>
      </c>
      <c r="O7" s="3">
        <v>5</v>
      </c>
      <c r="P7">
        <v>10</v>
      </c>
      <c r="Q7" t="s">
        <v>272</v>
      </c>
      <c r="R7" t="s">
        <v>272</v>
      </c>
      <c r="Y7" t="s">
        <v>262</v>
      </c>
    </row>
    <row r="8" spans="1:28" x14ac:dyDescent="0.25">
      <c r="A8" s="2" t="s">
        <v>169</v>
      </c>
      <c r="B8">
        <f t="shared" si="0"/>
        <v>994</v>
      </c>
      <c r="C8">
        <v>1</v>
      </c>
      <c r="F8" t="s">
        <v>208</v>
      </c>
      <c r="G8" s="2"/>
      <c r="H8" s="2"/>
      <c r="I8" s="2"/>
      <c r="J8" s="1"/>
      <c r="K8" s="2"/>
      <c r="L8" s="2"/>
      <c r="M8" t="s">
        <v>262</v>
      </c>
      <c r="N8" s="2" t="s">
        <v>169</v>
      </c>
      <c r="O8" s="3">
        <v>2</v>
      </c>
      <c r="P8">
        <v>6</v>
      </c>
      <c r="Q8" t="s">
        <v>273</v>
      </c>
      <c r="R8">
        <v>30</v>
      </c>
      <c r="S8" t="s">
        <v>275</v>
      </c>
      <c r="Y8" t="s">
        <v>262</v>
      </c>
    </row>
    <row r="9" spans="1:28" x14ac:dyDescent="0.25">
      <c r="A9" s="2" t="s">
        <v>170</v>
      </c>
      <c r="B9">
        <f t="shared" si="0"/>
        <v>993</v>
      </c>
      <c r="C9">
        <v>1</v>
      </c>
      <c r="F9" t="s">
        <v>209</v>
      </c>
      <c r="G9" s="2"/>
      <c r="H9" s="2"/>
      <c r="I9" s="2"/>
      <c r="J9" s="1"/>
      <c r="K9" s="2"/>
      <c r="L9" s="2"/>
      <c r="M9" t="s">
        <v>263</v>
      </c>
      <c r="N9" s="2" t="s">
        <v>170</v>
      </c>
      <c r="O9" s="3">
        <v>2</v>
      </c>
      <c r="P9">
        <v>2</v>
      </c>
      <c r="Q9" t="s">
        <v>271</v>
      </c>
      <c r="R9">
        <v>45</v>
      </c>
      <c r="S9" t="s">
        <v>283</v>
      </c>
      <c r="Y9" t="s">
        <v>263</v>
      </c>
    </row>
    <row r="10" spans="1:28" x14ac:dyDescent="0.25">
      <c r="A10" s="2" t="s">
        <v>171</v>
      </c>
      <c r="B10">
        <f t="shared" si="0"/>
        <v>992</v>
      </c>
      <c r="C10">
        <v>1</v>
      </c>
      <c r="F10" t="s">
        <v>210</v>
      </c>
      <c r="G10" s="2"/>
      <c r="H10" s="2"/>
      <c r="I10" s="2"/>
      <c r="J10" s="1"/>
      <c r="K10" s="2"/>
      <c r="L10" s="2"/>
      <c r="M10" t="s">
        <v>261</v>
      </c>
      <c r="N10" s="2" t="s">
        <v>171</v>
      </c>
      <c r="O10" s="3">
        <v>2</v>
      </c>
      <c r="P10">
        <v>6</v>
      </c>
      <c r="Q10" t="s">
        <v>274</v>
      </c>
      <c r="R10">
        <v>20</v>
      </c>
      <c r="S10" t="s">
        <v>272</v>
      </c>
      <c r="Y10" t="s">
        <v>261</v>
      </c>
    </row>
    <row r="11" spans="1:28" x14ac:dyDescent="0.25">
      <c r="A11" s="2" t="s">
        <v>117</v>
      </c>
      <c r="B11">
        <f t="shared" si="0"/>
        <v>991</v>
      </c>
      <c r="C11">
        <v>1</v>
      </c>
      <c r="F11" t="s">
        <v>211</v>
      </c>
      <c r="G11" s="2"/>
      <c r="H11" s="2"/>
      <c r="I11" s="2"/>
      <c r="J11" s="1"/>
      <c r="K11" s="2"/>
      <c r="L11" s="2"/>
      <c r="M11" t="s">
        <v>264</v>
      </c>
      <c r="N11" s="2" t="s">
        <v>117</v>
      </c>
      <c r="O11" s="3">
        <v>2</v>
      </c>
      <c r="P11">
        <v>4</v>
      </c>
      <c r="Q11" t="s">
        <v>275</v>
      </c>
      <c r="R11" t="s">
        <v>275</v>
      </c>
      <c r="Y11" t="s">
        <v>264</v>
      </c>
    </row>
    <row r="12" spans="1:28" x14ac:dyDescent="0.25">
      <c r="A12" s="2" t="s">
        <v>149</v>
      </c>
      <c r="B12">
        <f t="shared" si="0"/>
        <v>990</v>
      </c>
      <c r="C12">
        <v>1</v>
      </c>
      <c r="F12" t="s">
        <v>212</v>
      </c>
      <c r="G12" s="2"/>
      <c r="H12" s="2"/>
      <c r="I12" s="2"/>
      <c r="J12" s="1"/>
      <c r="K12" s="2"/>
      <c r="L12" s="2"/>
      <c r="M12" t="s">
        <v>261</v>
      </c>
      <c r="N12" s="2" t="s">
        <v>149</v>
      </c>
      <c r="O12" s="3">
        <v>2</v>
      </c>
      <c r="P12">
        <v>5</v>
      </c>
      <c r="Q12" t="s">
        <v>275</v>
      </c>
      <c r="R12" t="s">
        <v>275</v>
      </c>
      <c r="Y12" t="s">
        <v>261</v>
      </c>
    </row>
    <row r="13" spans="1:28" x14ac:dyDescent="0.25">
      <c r="A13" s="2" t="s">
        <v>172</v>
      </c>
      <c r="B13">
        <f t="shared" si="0"/>
        <v>989</v>
      </c>
      <c r="C13">
        <v>1</v>
      </c>
      <c r="F13" t="s">
        <v>213</v>
      </c>
      <c r="G13" s="2"/>
      <c r="H13" s="2"/>
      <c r="I13" s="2"/>
      <c r="J13" s="1"/>
      <c r="K13" s="2"/>
      <c r="L13" s="2"/>
      <c r="M13" t="s">
        <v>265</v>
      </c>
      <c r="N13" s="2" t="s">
        <v>172</v>
      </c>
      <c r="O13" s="3">
        <v>3</v>
      </c>
      <c r="P13">
        <v>6</v>
      </c>
      <c r="Q13" t="s">
        <v>276</v>
      </c>
      <c r="R13">
        <v>60</v>
      </c>
      <c r="S13" t="s">
        <v>285</v>
      </c>
      <c r="Y13" t="s">
        <v>265</v>
      </c>
    </row>
    <row r="14" spans="1:28" x14ac:dyDescent="0.25">
      <c r="A14" s="2" t="s">
        <v>173</v>
      </c>
      <c r="B14">
        <f t="shared" si="0"/>
        <v>988</v>
      </c>
      <c r="C14">
        <v>1</v>
      </c>
      <c r="F14" t="s">
        <v>214</v>
      </c>
      <c r="G14" s="2"/>
      <c r="H14" s="2"/>
      <c r="I14" s="2"/>
      <c r="J14" s="1"/>
      <c r="K14" s="2"/>
      <c r="L14" s="2"/>
      <c r="M14" t="s">
        <v>260</v>
      </c>
      <c r="N14" s="2" t="s">
        <v>173</v>
      </c>
      <c r="O14" s="3">
        <v>2</v>
      </c>
      <c r="P14">
        <v>4</v>
      </c>
      <c r="Q14" t="s">
        <v>274</v>
      </c>
      <c r="R14">
        <v>20</v>
      </c>
      <c r="S14" t="s">
        <v>272</v>
      </c>
      <c r="Y14" t="s">
        <v>260</v>
      </c>
    </row>
    <row r="15" spans="1:28" x14ac:dyDescent="0.25">
      <c r="A15" s="2" t="s">
        <v>104</v>
      </c>
      <c r="B15">
        <f t="shared" si="0"/>
        <v>987</v>
      </c>
      <c r="C15">
        <v>1</v>
      </c>
      <c r="F15" t="s">
        <v>215</v>
      </c>
      <c r="G15" s="2"/>
      <c r="H15" s="2"/>
      <c r="I15" s="2"/>
      <c r="J15" s="1"/>
      <c r="K15" s="2"/>
      <c r="L15" s="2"/>
      <c r="M15" t="s">
        <v>261</v>
      </c>
      <c r="N15" s="2" t="s">
        <v>104</v>
      </c>
      <c r="O15" s="3">
        <v>2</v>
      </c>
      <c r="P15">
        <v>4</v>
      </c>
      <c r="Q15" t="s">
        <v>272</v>
      </c>
      <c r="R15" t="s">
        <v>272</v>
      </c>
      <c r="Y15" t="s">
        <v>261</v>
      </c>
    </row>
    <row r="16" spans="1:28" x14ac:dyDescent="0.25">
      <c r="A16" s="2" t="s">
        <v>103</v>
      </c>
      <c r="B16">
        <f t="shared" si="0"/>
        <v>986</v>
      </c>
      <c r="C16">
        <v>1</v>
      </c>
      <c r="F16" t="s">
        <v>216</v>
      </c>
      <c r="G16" s="2"/>
      <c r="H16" s="2"/>
      <c r="I16" s="2"/>
      <c r="J16" s="1"/>
      <c r="K16" s="2"/>
      <c r="L16" s="2"/>
      <c r="M16" t="s">
        <v>261</v>
      </c>
      <c r="N16" s="2" t="s">
        <v>103</v>
      </c>
      <c r="O16" s="3">
        <v>2</v>
      </c>
      <c r="P16">
        <v>4</v>
      </c>
      <c r="Q16" t="s">
        <v>277</v>
      </c>
      <c r="R16">
        <v>15</v>
      </c>
      <c r="S16" t="s">
        <v>278</v>
      </c>
      <c r="Y16" t="s">
        <v>261</v>
      </c>
    </row>
    <row r="17" spans="1:25" x14ac:dyDescent="0.25">
      <c r="A17" s="2" t="s">
        <v>174</v>
      </c>
      <c r="B17">
        <f t="shared" si="0"/>
        <v>985</v>
      </c>
      <c r="C17">
        <v>1</v>
      </c>
      <c r="F17" t="s">
        <v>217</v>
      </c>
      <c r="G17" s="2"/>
      <c r="H17" s="2"/>
      <c r="I17" s="2"/>
      <c r="J17" s="1"/>
      <c r="K17" s="2"/>
      <c r="L17" s="2"/>
      <c r="M17" t="s">
        <v>260</v>
      </c>
      <c r="N17" s="2" t="s">
        <v>174</v>
      </c>
      <c r="O17" s="3">
        <v>2</v>
      </c>
      <c r="P17">
        <v>6</v>
      </c>
      <c r="Q17" t="s">
        <v>274</v>
      </c>
      <c r="R17">
        <v>20</v>
      </c>
      <c r="S17" t="s">
        <v>272</v>
      </c>
      <c r="Y17" t="s">
        <v>260</v>
      </c>
    </row>
    <row r="18" spans="1:25" x14ac:dyDescent="0.25">
      <c r="A18" s="2" t="s">
        <v>175</v>
      </c>
      <c r="B18">
        <f t="shared" si="0"/>
        <v>984</v>
      </c>
      <c r="C18">
        <v>1</v>
      </c>
      <c r="F18" t="s">
        <v>218</v>
      </c>
      <c r="G18" s="2"/>
      <c r="H18" s="2"/>
      <c r="I18" s="2"/>
      <c r="J18" s="1"/>
      <c r="K18" s="2"/>
      <c r="L18" s="2"/>
      <c r="M18" t="s">
        <v>263</v>
      </c>
      <c r="N18" s="2" t="s">
        <v>175</v>
      </c>
      <c r="O18" s="3">
        <v>2</v>
      </c>
      <c r="P18">
        <v>2</v>
      </c>
      <c r="Q18" t="s">
        <v>278</v>
      </c>
      <c r="R18" t="s">
        <v>278</v>
      </c>
      <c r="Y18" t="s">
        <v>263</v>
      </c>
    </row>
    <row r="19" spans="1:25" x14ac:dyDescent="0.25">
      <c r="A19" s="2" t="s">
        <v>79</v>
      </c>
      <c r="B19">
        <f t="shared" si="0"/>
        <v>983</v>
      </c>
      <c r="C19">
        <v>1</v>
      </c>
      <c r="F19" t="s">
        <v>219</v>
      </c>
      <c r="G19" s="2"/>
      <c r="H19" s="2"/>
      <c r="I19" s="2"/>
      <c r="J19" s="1"/>
      <c r="K19" s="2"/>
      <c r="L19" s="2"/>
      <c r="M19" t="s">
        <v>264</v>
      </c>
      <c r="N19" s="2" t="s">
        <v>79</v>
      </c>
      <c r="O19" s="3">
        <v>2</v>
      </c>
      <c r="P19">
        <v>4</v>
      </c>
      <c r="Q19" t="s">
        <v>272</v>
      </c>
      <c r="R19" t="s">
        <v>272</v>
      </c>
      <c r="Y19" t="s">
        <v>264</v>
      </c>
    </row>
    <row r="20" spans="1:25" x14ac:dyDescent="0.25">
      <c r="A20" s="2" t="s">
        <v>76</v>
      </c>
      <c r="B20">
        <f t="shared" si="0"/>
        <v>982</v>
      </c>
      <c r="C20">
        <v>1</v>
      </c>
      <c r="F20" t="s">
        <v>220</v>
      </c>
      <c r="G20" s="2"/>
      <c r="H20" s="2"/>
      <c r="I20" s="2"/>
      <c r="K20" s="2"/>
      <c r="L20" s="2"/>
      <c r="M20" t="s">
        <v>264</v>
      </c>
      <c r="N20" s="2" t="s">
        <v>76</v>
      </c>
      <c r="O20" s="3">
        <v>2</v>
      </c>
      <c r="P20">
        <v>5</v>
      </c>
      <c r="Q20" t="s">
        <v>275</v>
      </c>
      <c r="R20" t="s">
        <v>275</v>
      </c>
      <c r="Y20" t="s">
        <v>264</v>
      </c>
    </row>
    <row r="21" spans="1:25" x14ac:dyDescent="0.25">
      <c r="A21" s="2" t="s">
        <v>71</v>
      </c>
      <c r="B21">
        <f t="shared" si="0"/>
        <v>981</v>
      </c>
      <c r="C21">
        <v>1</v>
      </c>
      <c r="F21" t="s">
        <v>221</v>
      </c>
      <c r="G21" s="2"/>
      <c r="H21" s="2"/>
      <c r="I21" s="2"/>
      <c r="J21" s="1"/>
      <c r="K21" s="2"/>
      <c r="L21" s="2"/>
      <c r="M21" t="s">
        <v>263</v>
      </c>
      <c r="N21" s="2" t="s">
        <v>71</v>
      </c>
      <c r="O21" s="3">
        <v>2</v>
      </c>
      <c r="P21">
        <v>7</v>
      </c>
      <c r="Q21" t="s">
        <v>272</v>
      </c>
      <c r="R21" t="s">
        <v>272</v>
      </c>
      <c r="Y21" t="s">
        <v>263</v>
      </c>
    </row>
    <row r="22" spans="1:25" x14ac:dyDescent="0.25">
      <c r="A22" s="2" t="s">
        <v>69</v>
      </c>
      <c r="B22">
        <f t="shared" si="0"/>
        <v>980</v>
      </c>
      <c r="C22">
        <v>1</v>
      </c>
      <c r="F22" t="s">
        <v>222</v>
      </c>
      <c r="G22" s="2"/>
      <c r="H22" s="2"/>
      <c r="I22" s="2"/>
      <c r="K22" s="2"/>
      <c r="L22" s="2"/>
      <c r="M22" t="s">
        <v>263</v>
      </c>
      <c r="N22" s="2" t="s">
        <v>69</v>
      </c>
      <c r="O22" s="3">
        <v>2</v>
      </c>
      <c r="P22">
        <v>4</v>
      </c>
      <c r="Q22" t="s">
        <v>272</v>
      </c>
      <c r="R22" t="s">
        <v>272</v>
      </c>
      <c r="Y22" t="s">
        <v>263</v>
      </c>
    </row>
    <row r="23" spans="1:25" x14ac:dyDescent="0.25">
      <c r="A23" s="2" t="s">
        <v>176</v>
      </c>
      <c r="B23">
        <f t="shared" si="0"/>
        <v>979</v>
      </c>
      <c r="C23">
        <v>1</v>
      </c>
      <c r="F23" t="s">
        <v>223</v>
      </c>
      <c r="G23" s="2"/>
      <c r="H23" s="2"/>
      <c r="I23" s="2"/>
      <c r="J23" s="1"/>
      <c r="K23" s="2"/>
      <c r="L23" s="2"/>
      <c r="M23" t="s">
        <v>265</v>
      </c>
      <c r="N23" s="2" t="s">
        <v>176</v>
      </c>
      <c r="O23" s="3">
        <v>2</v>
      </c>
      <c r="P23">
        <v>8</v>
      </c>
      <c r="Q23" t="s">
        <v>270</v>
      </c>
      <c r="R23">
        <v>10</v>
      </c>
      <c r="S23" t="s">
        <v>279</v>
      </c>
      <c r="Y23" t="s">
        <v>265</v>
      </c>
    </row>
    <row r="24" spans="1:25" x14ac:dyDescent="0.25">
      <c r="A24" s="2" t="s">
        <v>177</v>
      </c>
      <c r="B24">
        <f t="shared" si="0"/>
        <v>978</v>
      </c>
      <c r="C24">
        <v>1</v>
      </c>
      <c r="F24" t="s">
        <v>224</v>
      </c>
      <c r="G24" s="2"/>
      <c r="H24" s="2"/>
      <c r="I24" s="2"/>
      <c r="J24" s="1"/>
      <c r="K24" s="2"/>
      <c r="L24" s="2"/>
      <c r="M24" t="s">
        <v>266</v>
      </c>
      <c r="N24" s="2" t="s">
        <v>177</v>
      </c>
      <c r="O24" s="3">
        <v>3</v>
      </c>
      <c r="P24">
        <v>12</v>
      </c>
      <c r="Q24" t="s">
        <v>272</v>
      </c>
      <c r="R24" t="s">
        <v>272</v>
      </c>
      <c r="Y24" t="s">
        <v>266</v>
      </c>
    </row>
    <row r="25" spans="1:25" x14ac:dyDescent="0.25">
      <c r="A25" s="2" t="s">
        <v>178</v>
      </c>
      <c r="B25">
        <f t="shared" si="0"/>
        <v>977</v>
      </c>
      <c r="C25">
        <v>1</v>
      </c>
      <c r="F25" t="s">
        <v>225</v>
      </c>
      <c r="G25" s="2"/>
      <c r="H25" s="2"/>
      <c r="I25" s="2"/>
      <c r="J25" s="1"/>
      <c r="K25" s="2"/>
      <c r="L25" s="2"/>
      <c r="M25" t="s">
        <v>260</v>
      </c>
      <c r="N25" s="2" t="s">
        <v>178</v>
      </c>
      <c r="O25" s="3">
        <v>2</v>
      </c>
      <c r="P25">
        <v>6</v>
      </c>
      <c r="Q25" t="s">
        <v>272</v>
      </c>
      <c r="R25" t="s">
        <v>272</v>
      </c>
      <c r="Y25" t="s">
        <v>260</v>
      </c>
    </row>
    <row r="26" spans="1:25" x14ac:dyDescent="0.25">
      <c r="A26" s="2" t="s">
        <v>66</v>
      </c>
      <c r="B26">
        <f t="shared" si="0"/>
        <v>976</v>
      </c>
      <c r="C26">
        <v>1</v>
      </c>
      <c r="F26" t="s">
        <v>226</v>
      </c>
      <c r="G26" s="2"/>
      <c r="H26" s="2"/>
      <c r="I26" s="2"/>
      <c r="J26" s="1"/>
      <c r="K26" s="2"/>
      <c r="L26" s="2"/>
      <c r="M26" t="s">
        <v>262</v>
      </c>
      <c r="N26" s="2" t="s">
        <v>66</v>
      </c>
      <c r="O26" s="3">
        <v>2</v>
      </c>
      <c r="P26">
        <v>6</v>
      </c>
      <c r="Q26" t="s">
        <v>279</v>
      </c>
      <c r="R26" t="s">
        <v>279</v>
      </c>
      <c r="Y26" t="s">
        <v>262</v>
      </c>
    </row>
    <row r="27" spans="1:25" x14ac:dyDescent="0.25">
      <c r="A27" s="2" t="s">
        <v>179</v>
      </c>
      <c r="B27">
        <f t="shared" si="0"/>
        <v>975</v>
      </c>
      <c r="C27">
        <v>1</v>
      </c>
      <c r="F27" t="s">
        <v>227</v>
      </c>
      <c r="G27" s="2"/>
      <c r="H27" s="2"/>
      <c r="I27" s="2"/>
      <c r="K27" s="2"/>
      <c r="L27" s="2"/>
      <c r="M27" t="s">
        <v>261</v>
      </c>
      <c r="N27" s="2" t="s">
        <v>179</v>
      </c>
      <c r="O27" s="3">
        <v>2</v>
      </c>
      <c r="P27">
        <v>6</v>
      </c>
      <c r="Q27" t="s">
        <v>277</v>
      </c>
      <c r="R27">
        <v>15</v>
      </c>
      <c r="S27" t="s">
        <v>278</v>
      </c>
      <c r="Y27" t="s">
        <v>261</v>
      </c>
    </row>
    <row r="28" spans="1:25" x14ac:dyDescent="0.25">
      <c r="A28" s="2" t="s">
        <v>180</v>
      </c>
      <c r="B28">
        <f t="shared" si="0"/>
        <v>974</v>
      </c>
      <c r="C28">
        <v>1</v>
      </c>
      <c r="F28" t="s">
        <v>228</v>
      </c>
      <c r="G28" s="2"/>
      <c r="H28" s="2"/>
      <c r="I28" s="2"/>
      <c r="J28" s="1"/>
      <c r="K28" s="2"/>
      <c r="L28" s="2"/>
      <c r="M28" t="s">
        <v>260</v>
      </c>
      <c r="N28" s="2" t="s">
        <v>180</v>
      </c>
      <c r="O28" s="3">
        <v>2</v>
      </c>
      <c r="P28">
        <v>6</v>
      </c>
      <c r="Q28" t="s">
        <v>278</v>
      </c>
      <c r="R28" t="s">
        <v>278</v>
      </c>
      <c r="Y28" t="s">
        <v>260</v>
      </c>
    </row>
    <row r="29" spans="1:25" x14ac:dyDescent="0.25">
      <c r="A29" s="2" t="s">
        <v>181</v>
      </c>
      <c r="B29">
        <f t="shared" si="0"/>
        <v>973</v>
      </c>
      <c r="C29">
        <v>1</v>
      </c>
      <c r="F29" t="s">
        <v>229</v>
      </c>
      <c r="G29" s="2"/>
      <c r="H29" s="2"/>
      <c r="I29" s="2"/>
      <c r="J29" s="1"/>
      <c r="K29" s="2"/>
      <c r="L29" s="2"/>
      <c r="M29" t="s">
        <v>261</v>
      </c>
      <c r="N29" s="2" t="s">
        <v>181</v>
      </c>
      <c r="O29" s="3">
        <v>2</v>
      </c>
      <c r="P29">
        <v>6</v>
      </c>
      <c r="Q29" t="s">
        <v>277</v>
      </c>
      <c r="R29">
        <v>15</v>
      </c>
      <c r="S29" t="s">
        <v>278</v>
      </c>
      <c r="Y29" t="s">
        <v>261</v>
      </c>
    </row>
    <row r="30" spans="1:25" x14ac:dyDescent="0.25">
      <c r="A30" s="2" t="s">
        <v>182</v>
      </c>
      <c r="B30">
        <f t="shared" si="0"/>
        <v>972</v>
      </c>
      <c r="C30">
        <v>1</v>
      </c>
      <c r="F30" t="s">
        <v>230</v>
      </c>
      <c r="G30" s="2"/>
      <c r="H30" s="2"/>
      <c r="I30" s="2"/>
      <c r="J30" s="1"/>
      <c r="K30" s="2"/>
      <c r="L30" s="2"/>
      <c r="M30" t="s">
        <v>261</v>
      </c>
      <c r="N30" s="2" t="s">
        <v>182</v>
      </c>
      <c r="O30" s="3">
        <v>3</v>
      </c>
      <c r="P30">
        <v>6</v>
      </c>
      <c r="Q30" t="s">
        <v>272</v>
      </c>
      <c r="R30" t="s">
        <v>272</v>
      </c>
      <c r="Y30" t="s">
        <v>261</v>
      </c>
    </row>
    <row r="31" spans="1:25" x14ac:dyDescent="0.25">
      <c r="A31" s="2" t="s">
        <v>58</v>
      </c>
      <c r="B31">
        <f t="shared" si="0"/>
        <v>971</v>
      </c>
      <c r="C31">
        <v>1</v>
      </c>
      <c r="F31" t="s">
        <v>231</v>
      </c>
      <c r="G31" s="2"/>
      <c r="H31" s="2"/>
      <c r="I31" s="2"/>
      <c r="J31" s="1"/>
      <c r="K31" s="2"/>
      <c r="L31" s="2"/>
      <c r="M31" t="s">
        <v>262</v>
      </c>
      <c r="N31" s="2" t="s">
        <v>58</v>
      </c>
      <c r="O31" s="3">
        <v>2</v>
      </c>
      <c r="P31">
        <v>8</v>
      </c>
      <c r="Q31" t="s">
        <v>271</v>
      </c>
      <c r="R31">
        <v>45</v>
      </c>
      <c r="S31" t="s">
        <v>283</v>
      </c>
      <c r="Y31" t="s">
        <v>262</v>
      </c>
    </row>
    <row r="32" spans="1:25" x14ac:dyDescent="0.25">
      <c r="A32" s="2" t="s">
        <v>183</v>
      </c>
      <c r="B32">
        <f t="shared" si="0"/>
        <v>970</v>
      </c>
      <c r="C32">
        <v>1</v>
      </c>
      <c r="F32" t="s">
        <v>232</v>
      </c>
      <c r="G32" s="2"/>
      <c r="H32" s="2"/>
      <c r="I32" s="2"/>
      <c r="J32" s="1"/>
      <c r="K32" s="2"/>
      <c r="L32" s="2"/>
      <c r="M32" t="s">
        <v>263</v>
      </c>
      <c r="N32" s="2" t="s">
        <v>183</v>
      </c>
      <c r="O32" s="3">
        <v>1</v>
      </c>
      <c r="P32">
        <v>100</v>
      </c>
      <c r="Q32" t="s">
        <v>273</v>
      </c>
      <c r="R32">
        <v>30</v>
      </c>
      <c r="S32" t="s">
        <v>275</v>
      </c>
      <c r="Y32" t="s">
        <v>263</v>
      </c>
    </row>
    <row r="33" spans="1:25" x14ac:dyDescent="0.25">
      <c r="A33" s="2" t="s">
        <v>51</v>
      </c>
      <c r="B33">
        <f t="shared" si="0"/>
        <v>969</v>
      </c>
      <c r="C33">
        <v>1</v>
      </c>
      <c r="F33" t="s">
        <v>233</v>
      </c>
      <c r="G33" s="2"/>
      <c r="H33" s="2"/>
      <c r="I33" s="2"/>
      <c r="J33" s="1"/>
      <c r="K33" s="2"/>
      <c r="L33" s="2"/>
      <c r="M33" t="s">
        <v>261</v>
      </c>
      <c r="N33" s="2" t="s">
        <v>51</v>
      </c>
      <c r="O33" s="3">
        <v>2</v>
      </c>
      <c r="P33">
        <v>5</v>
      </c>
      <c r="Q33" t="s">
        <v>272</v>
      </c>
      <c r="R33" t="s">
        <v>272</v>
      </c>
      <c r="Y33" t="s">
        <v>261</v>
      </c>
    </row>
    <row r="34" spans="1:25" x14ac:dyDescent="0.25">
      <c r="A34" s="2" t="s">
        <v>50</v>
      </c>
      <c r="B34">
        <f t="shared" si="0"/>
        <v>968</v>
      </c>
      <c r="C34">
        <v>1</v>
      </c>
      <c r="F34" t="s">
        <v>234</v>
      </c>
      <c r="G34" s="2"/>
      <c r="H34" s="2"/>
      <c r="I34" s="2"/>
      <c r="K34" s="2"/>
      <c r="L34" s="2"/>
      <c r="M34" t="s">
        <v>261</v>
      </c>
      <c r="N34" s="2" t="s">
        <v>50</v>
      </c>
      <c r="O34" s="3">
        <v>2</v>
      </c>
      <c r="P34">
        <v>5</v>
      </c>
      <c r="Q34" t="s">
        <v>273</v>
      </c>
      <c r="R34">
        <v>30</v>
      </c>
      <c r="S34" t="s">
        <v>275</v>
      </c>
      <c r="Y34" t="s">
        <v>261</v>
      </c>
    </row>
    <row r="35" spans="1:25" x14ac:dyDescent="0.25">
      <c r="A35" s="2" t="s">
        <v>184</v>
      </c>
      <c r="B35">
        <f t="shared" si="0"/>
        <v>967</v>
      </c>
      <c r="C35">
        <v>1</v>
      </c>
      <c r="F35" t="s">
        <v>235</v>
      </c>
      <c r="G35" s="2"/>
      <c r="H35" s="2"/>
      <c r="I35" s="2"/>
      <c r="J35" s="1"/>
      <c r="K35" s="2"/>
      <c r="L35" s="2"/>
      <c r="M35" t="s">
        <v>265</v>
      </c>
      <c r="N35" s="2" t="s">
        <v>184</v>
      </c>
      <c r="O35" s="3">
        <v>2</v>
      </c>
      <c r="P35">
        <v>8</v>
      </c>
      <c r="Q35" t="s">
        <v>270</v>
      </c>
      <c r="R35">
        <v>10</v>
      </c>
      <c r="S35" t="s">
        <v>279</v>
      </c>
      <c r="Y35" t="s">
        <v>265</v>
      </c>
    </row>
    <row r="36" spans="1:25" x14ac:dyDescent="0.25">
      <c r="A36" s="2" t="s">
        <v>41</v>
      </c>
      <c r="B36">
        <f t="shared" si="0"/>
        <v>966</v>
      </c>
      <c r="C36">
        <v>1</v>
      </c>
      <c r="F36" t="s">
        <v>236</v>
      </c>
      <c r="G36" s="2"/>
      <c r="H36" s="2"/>
      <c r="I36" s="2"/>
      <c r="J36" s="1"/>
      <c r="K36" s="2"/>
      <c r="L36" s="2"/>
      <c r="M36" t="s">
        <v>263</v>
      </c>
      <c r="N36" s="2" t="s">
        <v>41</v>
      </c>
      <c r="O36" s="3">
        <v>2</v>
      </c>
      <c r="P36">
        <v>4</v>
      </c>
      <c r="Q36" t="s">
        <v>273</v>
      </c>
      <c r="R36">
        <v>30</v>
      </c>
      <c r="S36" t="s">
        <v>275</v>
      </c>
      <c r="Y36" t="s">
        <v>263</v>
      </c>
    </row>
    <row r="37" spans="1:25" x14ac:dyDescent="0.25">
      <c r="A37" s="2" t="s">
        <v>185</v>
      </c>
      <c r="B37">
        <f t="shared" si="0"/>
        <v>965</v>
      </c>
      <c r="C37">
        <v>1</v>
      </c>
      <c r="F37" t="s">
        <v>237</v>
      </c>
      <c r="G37" s="2"/>
      <c r="H37" s="2"/>
      <c r="I37" s="2"/>
      <c r="J37" s="1"/>
      <c r="K37" s="2"/>
      <c r="L37" s="2"/>
      <c r="M37" t="s">
        <v>263</v>
      </c>
      <c r="N37" s="2" t="s">
        <v>185</v>
      </c>
      <c r="O37" s="3">
        <v>2</v>
      </c>
      <c r="Q37" t="s">
        <v>272</v>
      </c>
      <c r="R37" t="s">
        <v>272</v>
      </c>
      <c r="Y37" t="s">
        <v>263</v>
      </c>
    </row>
    <row r="38" spans="1:25" x14ac:dyDescent="0.25">
      <c r="A38" s="2" t="s">
        <v>36</v>
      </c>
      <c r="B38">
        <f t="shared" si="0"/>
        <v>964</v>
      </c>
      <c r="C38">
        <v>1</v>
      </c>
      <c r="F38" t="s">
        <v>238</v>
      </c>
      <c r="G38" s="2"/>
      <c r="H38" s="2"/>
      <c r="I38" s="2"/>
      <c r="J38" s="1"/>
      <c r="K38" s="2"/>
      <c r="L38" s="2"/>
      <c r="M38" t="s">
        <v>263</v>
      </c>
      <c r="N38" s="2" t="s">
        <v>36</v>
      </c>
      <c r="O38" s="3">
        <v>3</v>
      </c>
      <c r="P38">
        <v>7</v>
      </c>
      <c r="Q38" t="s">
        <v>272</v>
      </c>
      <c r="R38" t="s">
        <v>272</v>
      </c>
      <c r="Y38" t="s">
        <v>263</v>
      </c>
    </row>
    <row r="39" spans="1:25" x14ac:dyDescent="0.25">
      <c r="A39" s="2" t="s">
        <v>186</v>
      </c>
      <c r="B39">
        <f t="shared" si="0"/>
        <v>963</v>
      </c>
      <c r="C39">
        <v>1</v>
      </c>
      <c r="F39" t="s">
        <v>239</v>
      </c>
      <c r="G39" s="2"/>
      <c r="H39" s="2"/>
      <c r="I39" s="2"/>
      <c r="J39" s="1"/>
      <c r="K39" s="2"/>
      <c r="L39" s="2"/>
      <c r="M39" t="s">
        <v>262</v>
      </c>
      <c r="N39" s="2" t="s">
        <v>186</v>
      </c>
      <c r="O39" s="3">
        <v>8</v>
      </c>
      <c r="P39">
        <v>24</v>
      </c>
      <c r="Q39" t="s">
        <v>267</v>
      </c>
      <c r="R39">
        <v>30</v>
      </c>
      <c r="S39" t="s">
        <v>283</v>
      </c>
      <c r="Y39" t="s">
        <v>262</v>
      </c>
    </row>
    <row r="40" spans="1:25" x14ac:dyDescent="0.25">
      <c r="A40" s="2" t="s">
        <v>187</v>
      </c>
      <c r="B40">
        <f t="shared" si="0"/>
        <v>962</v>
      </c>
      <c r="C40">
        <v>1</v>
      </c>
      <c r="F40" t="s">
        <v>240</v>
      </c>
      <c r="G40" s="2"/>
      <c r="H40" s="2"/>
      <c r="I40" s="2"/>
      <c r="J40" s="1"/>
      <c r="K40" s="2"/>
      <c r="L40" s="2"/>
      <c r="M40" t="s">
        <v>265</v>
      </c>
      <c r="N40" s="2" t="s">
        <v>187</v>
      </c>
      <c r="O40" s="3">
        <v>2</v>
      </c>
      <c r="P40">
        <v>6</v>
      </c>
      <c r="Q40" t="s">
        <v>280</v>
      </c>
      <c r="R40">
        <v>10</v>
      </c>
      <c r="S40" t="s">
        <v>272</v>
      </c>
      <c r="Y40" t="s">
        <v>265</v>
      </c>
    </row>
    <row r="41" spans="1:25" x14ac:dyDescent="0.25">
      <c r="A41" s="2" t="s">
        <v>63</v>
      </c>
      <c r="B41">
        <f t="shared" si="0"/>
        <v>961</v>
      </c>
      <c r="C41">
        <v>1</v>
      </c>
      <c r="F41" t="s">
        <v>241</v>
      </c>
      <c r="G41" s="2"/>
      <c r="H41" s="2"/>
      <c r="I41" s="2"/>
      <c r="J41" s="1"/>
      <c r="K41" s="2"/>
      <c r="L41" s="2"/>
      <c r="M41" t="s">
        <v>261</v>
      </c>
      <c r="N41" s="2" t="s">
        <v>63</v>
      </c>
      <c r="O41" s="3">
        <v>2</v>
      </c>
      <c r="P41">
        <v>5</v>
      </c>
      <c r="Q41" t="s">
        <v>272</v>
      </c>
      <c r="R41" t="s">
        <v>272</v>
      </c>
      <c r="Y41" t="s">
        <v>261</v>
      </c>
    </row>
    <row r="42" spans="1:25" x14ac:dyDescent="0.25">
      <c r="A42" s="2" t="s">
        <v>92</v>
      </c>
      <c r="B42">
        <f t="shared" si="0"/>
        <v>960</v>
      </c>
      <c r="C42">
        <v>1</v>
      </c>
      <c r="F42" t="s">
        <v>242</v>
      </c>
      <c r="G42" s="2"/>
      <c r="H42" s="2"/>
      <c r="I42" s="2"/>
      <c r="J42" s="1"/>
      <c r="K42" s="2"/>
      <c r="L42" s="2"/>
      <c r="M42" t="s">
        <v>264</v>
      </c>
      <c r="N42" s="2" t="s">
        <v>92</v>
      </c>
      <c r="O42" s="3">
        <v>2</v>
      </c>
      <c r="P42">
        <v>5</v>
      </c>
      <c r="Q42" t="s">
        <v>281</v>
      </c>
      <c r="R42" t="s">
        <v>281</v>
      </c>
      <c r="Y42" t="s">
        <v>264</v>
      </c>
    </row>
    <row r="43" spans="1:25" x14ac:dyDescent="0.25">
      <c r="A43" s="2" t="s">
        <v>188</v>
      </c>
      <c r="B43">
        <f t="shared" si="0"/>
        <v>959</v>
      </c>
      <c r="C43">
        <v>1</v>
      </c>
      <c r="F43" t="s">
        <v>243</v>
      </c>
      <c r="G43" s="2"/>
      <c r="H43" s="2"/>
      <c r="I43" s="2"/>
      <c r="J43" s="1"/>
      <c r="K43" s="2"/>
      <c r="L43" s="2"/>
      <c r="M43" t="s">
        <v>263</v>
      </c>
      <c r="N43" s="2" t="s">
        <v>188</v>
      </c>
      <c r="O43" s="3">
        <v>3</v>
      </c>
      <c r="P43">
        <v>6</v>
      </c>
      <c r="Q43" t="s">
        <v>274</v>
      </c>
      <c r="R43">
        <v>20</v>
      </c>
      <c r="S43" t="s">
        <v>272</v>
      </c>
      <c r="Y43" t="s">
        <v>263</v>
      </c>
    </row>
    <row r="44" spans="1:25" x14ac:dyDescent="0.25">
      <c r="A44" s="2" t="s">
        <v>72</v>
      </c>
      <c r="B44">
        <f t="shared" si="0"/>
        <v>958</v>
      </c>
      <c r="C44">
        <v>1</v>
      </c>
      <c r="F44" t="s">
        <v>244</v>
      </c>
      <c r="G44" s="2"/>
      <c r="H44" s="2"/>
      <c r="I44" s="2"/>
      <c r="J44" s="1"/>
      <c r="K44" s="2"/>
      <c r="L44" s="2"/>
      <c r="M44" t="s">
        <v>265</v>
      </c>
      <c r="N44" s="2" t="s">
        <v>72</v>
      </c>
      <c r="O44" s="3">
        <v>2</v>
      </c>
      <c r="P44">
        <v>6</v>
      </c>
      <c r="Q44" t="s">
        <v>280</v>
      </c>
      <c r="R44">
        <v>10</v>
      </c>
      <c r="S44" t="s">
        <v>272</v>
      </c>
      <c r="Y44" t="s">
        <v>265</v>
      </c>
    </row>
    <row r="45" spans="1:25" x14ac:dyDescent="0.25">
      <c r="A45" s="2" t="s">
        <v>189</v>
      </c>
      <c r="B45">
        <f t="shared" si="0"/>
        <v>957</v>
      </c>
      <c r="C45">
        <v>1</v>
      </c>
      <c r="F45" t="s">
        <v>245</v>
      </c>
      <c r="G45" s="2"/>
      <c r="H45" s="2"/>
      <c r="I45" s="2"/>
      <c r="K45" s="2"/>
      <c r="L45" s="2"/>
      <c r="M45" t="s">
        <v>263</v>
      </c>
      <c r="N45" s="2" t="s">
        <v>189</v>
      </c>
      <c r="O45" s="3">
        <v>2</v>
      </c>
      <c r="P45">
        <v>6</v>
      </c>
      <c r="Q45" t="s">
        <v>277</v>
      </c>
      <c r="R45">
        <v>15</v>
      </c>
      <c r="S45" t="s">
        <v>278</v>
      </c>
      <c r="Y45" t="s">
        <v>263</v>
      </c>
    </row>
    <row r="46" spans="1:25" x14ac:dyDescent="0.25">
      <c r="A46" s="2" t="s">
        <v>190</v>
      </c>
      <c r="B46">
        <f t="shared" si="0"/>
        <v>956</v>
      </c>
      <c r="C46">
        <v>1</v>
      </c>
      <c r="F46" t="s">
        <v>246</v>
      </c>
      <c r="G46" s="2"/>
      <c r="H46" s="2"/>
      <c r="I46" s="2"/>
      <c r="J46" s="1"/>
      <c r="K46" s="2"/>
      <c r="L46" s="2"/>
      <c r="M46" t="s">
        <v>261</v>
      </c>
      <c r="N46" s="2" t="s">
        <v>190</v>
      </c>
      <c r="O46" s="3">
        <v>2</v>
      </c>
      <c r="P46">
        <v>4</v>
      </c>
      <c r="Q46" t="s">
        <v>278</v>
      </c>
      <c r="R46" t="s">
        <v>278</v>
      </c>
      <c r="Y46" t="s">
        <v>261</v>
      </c>
    </row>
    <row r="47" spans="1:25" x14ac:dyDescent="0.25">
      <c r="A47" s="2" t="s">
        <v>191</v>
      </c>
      <c r="B47">
        <f t="shared" si="0"/>
        <v>955</v>
      </c>
      <c r="C47">
        <v>1</v>
      </c>
      <c r="F47" t="s">
        <v>247</v>
      </c>
      <c r="G47" s="2"/>
      <c r="H47" s="2"/>
      <c r="I47" s="2"/>
      <c r="J47" s="1"/>
      <c r="K47" s="2"/>
      <c r="L47" s="2"/>
      <c r="M47" t="s">
        <v>265</v>
      </c>
      <c r="N47" s="2" t="s">
        <v>191</v>
      </c>
      <c r="O47" s="3">
        <v>2</v>
      </c>
      <c r="P47">
        <v>8</v>
      </c>
      <c r="Q47" t="s">
        <v>273</v>
      </c>
      <c r="R47">
        <v>30</v>
      </c>
      <c r="S47" t="s">
        <v>275</v>
      </c>
      <c r="Y47" t="s">
        <v>265</v>
      </c>
    </row>
    <row r="48" spans="1:25" x14ac:dyDescent="0.25">
      <c r="A48" s="2" t="s">
        <v>192</v>
      </c>
      <c r="B48">
        <f t="shared" si="0"/>
        <v>954</v>
      </c>
      <c r="C48">
        <v>1</v>
      </c>
      <c r="F48" t="s">
        <v>248</v>
      </c>
      <c r="G48" s="2"/>
      <c r="H48" s="2"/>
      <c r="I48" s="2"/>
      <c r="J48" s="1"/>
      <c r="K48" s="2"/>
      <c r="L48" s="2"/>
      <c r="M48" t="s">
        <v>266</v>
      </c>
      <c r="N48" s="2" t="s">
        <v>192</v>
      </c>
      <c r="O48" s="3">
        <v>4</v>
      </c>
      <c r="P48">
        <v>100</v>
      </c>
      <c r="Q48" t="s">
        <v>274</v>
      </c>
      <c r="R48">
        <v>20</v>
      </c>
      <c r="S48" t="s">
        <v>272</v>
      </c>
      <c r="Y48" t="s">
        <v>266</v>
      </c>
    </row>
    <row r="49" spans="1:25" x14ac:dyDescent="0.25">
      <c r="A49" s="2" t="s">
        <v>193</v>
      </c>
      <c r="B49">
        <f t="shared" si="0"/>
        <v>953</v>
      </c>
      <c r="C49">
        <v>1</v>
      </c>
      <c r="F49" t="s">
        <v>249</v>
      </c>
      <c r="G49" s="2"/>
      <c r="H49" s="2"/>
      <c r="I49" s="2"/>
      <c r="J49" s="1"/>
      <c r="K49" s="2"/>
      <c r="L49" s="2"/>
      <c r="M49" t="s">
        <v>261</v>
      </c>
      <c r="N49" s="2" t="s">
        <v>193</v>
      </c>
      <c r="O49" s="3">
        <v>2</v>
      </c>
      <c r="P49">
        <v>5</v>
      </c>
      <c r="Q49" t="s">
        <v>277</v>
      </c>
      <c r="R49">
        <v>15</v>
      </c>
      <c r="S49" t="s">
        <v>278</v>
      </c>
      <c r="Y49" t="s">
        <v>261</v>
      </c>
    </row>
    <row r="50" spans="1:25" x14ac:dyDescent="0.25">
      <c r="A50" s="2" t="s">
        <v>194</v>
      </c>
      <c r="B50">
        <f t="shared" si="0"/>
        <v>952</v>
      </c>
      <c r="C50">
        <v>1</v>
      </c>
      <c r="F50" t="s">
        <v>250</v>
      </c>
      <c r="G50" s="2"/>
      <c r="H50" s="2"/>
      <c r="I50" s="2"/>
      <c r="J50" s="1"/>
      <c r="K50" s="2"/>
      <c r="L50" s="2"/>
      <c r="M50" t="s">
        <v>263</v>
      </c>
      <c r="N50" s="2" t="s">
        <v>194</v>
      </c>
      <c r="O50" s="3">
        <v>2</v>
      </c>
      <c r="P50">
        <v>4</v>
      </c>
      <c r="Q50" t="s">
        <v>282</v>
      </c>
      <c r="R50">
        <v>5</v>
      </c>
      <c r="S50" t="s">
        <v>279</v>
      </c>
      <c r="Y50" t="s">
        <v>263</v>
      </c>
    </row>
    <row r="51" spans="1:25" x14ac:dyDescent="0.25">
      <c r="A51" s="2" t="s">
        <v>195</v>
      </c>
      <c r="B51">
        <f t="shared" si="0"/>
        <v>951</v>
      </c>
      <c r="C51">
        <v>1</v>
      </c>
      <c r="F51" t="s">
        <v>251</v>
      </c>
      <c r="G51" s="2"/>
      <c r="H51" s="2"/>
      <c r="I51" s="2"/>
      <c r="J51" s="1"/>
      <c r="K51" s="2"/>
      <c r="L51" s="2"/>
      <c r="M51" t="s">
        <v>261</v>
      </c>
      <c r="N51" s="2" t="s">
        <v>195</v>
      </c>
      <c r="O51" s="3">
        <v>2</v>
      </c>
      <c r="P51">
        <v>8</v>
      </c>
      <c r="Q51" t="s">
        <v>279</v>
      </c>
      <c r="R51" t="s">
        <v>279</v>
      </c>
      <c r="Y51" t="s">
        <v>261</v>
      </c>
    </row>
    <row r="52" spans="1:25" x14ac:dyDescent="0.25">
      <c r="A52" s="2" t="s">
        <v>196</v>
      </c>
      <c r="B52">
        <f t="shared" si="0"/>
        <v>950</v>
      </c>
      <c r="C52">
        <v>1</v>
      </c>
      <c r="F52" t="s">
        <v>252</v>
      </c>
      <c r="G52" s="2"/>
      <c r="H52" s="2"/>
      <c r="I52" s="2"/>
      <c r="J52" s="1"/>
      <c r="K52" s="2"/>
      <c r="L52" s="2"/>
      <c r="M52" t="s">
        <v>261</v>
      </c>
      <c r="N52" s="2" t="s">
        <v>196</v>
      </c>
      <c r="O52" s="3">
        <v>2</v>
      </c>
      <c r="P52">
        <v>5</v>
      </c>
      <c r="Q52" t="s">
        <v>278</v>
      </c>
      <c r="R52" t="s">
        <v>278</v>
      </c>
      <c r="Y52" t="s">
        <v>261</v>
      </c>
    </row>
    <row r="53" spans="1:25" x14ac:dyDescent="0.25">
      <c r="A53" s="2" t="s">
        <v>197</v>
      </c>
      <c r="B53">
        <f t="shared" si="0"/>
        <v>949</v>
      </c>
      <c r="C53">
        <v>1</v>
      </c>
      <c r="F53" t="s">
        <v>253</v>
      </c>
      <c r="G53" s="2"/>
      <c r="H53" s="2"/>
      <c r="I53" s="2"/>
      <c r="J53" s="1"/>
      <c r="K53" s="2"/>
      <c r="L53" s="2"/>
      <c r="M53" t="s">
        <v>262</v>
      </c>
      <c r="N53" s="2" t="s">
        <v>197</v>
      </c>
      <c r="O53" s="3">
        <v>4</v>
      </c>
      <c r="P53">
        <v>7</v>
      </c>
      <c r="Q53" t="s">
        <v>272</v>
      </c>
      <c r="R53" t="s">
        <v>272</v>
      </c>
      <c r="Y53" t="s">
        <v>262</v>
      </c>
    </row>
    <row r="54" spans="1:25" x14ac:dyDescent="0.25">
      <c r="A54" s="2" t="s">
        <v>198</v>
      </c>
      <c r="B54">
        <f t="shared" si="0"/>
        <v>948</v>
      </c>
      <c r="C54">
        <v>1</v>
      </c>
      <c r="F54" t="s">
        <v>198</v>
      </c>
      <c r="G54" s="2"/>
      <c r="H54" s="2"/>
      <c r="I54" s="2"/>
      <c r="J54" s="1"/>
      <c r="K54" s="2"/>
      <c r="L54" s="2"/>
      <c r="M54" t="s">
        <v>259</v>
      </c>
      <c r="N54" s="2" t="s">
        <v>198</v>
      </c>
      <c r="O54" s="3">
        <v>2</v>
      </c>
      <c r="P54">
        <v>10</v>
      </c>
      <c r="Q54" t="s">
        <v>278</v>
      </c>
      <c r="R54" t="s">
        <v>278</v>
      </c>
      <c r="Y54" t="s">
        <v>259</v>
      </c>
    </row>
    <row r="55" spans="1:25" x14ac:dyDescent="0.25">
      <c r="A55" s="2" t="s">
        <v>199</v>
      </c>
      <c r="B55">
        <f t="shared" si="0"/>
        <v>947</v>
      </c>
      <c r="C55">
        <v>1</v>
      </c>
      <c r="F55" t="s">
        <v>254</v>
      </c>
      <c r="G55" s="2"/>
      <c r="H55" s="2"/>
      <c r="I55" s="2"/>
      <c r="K55" s="2"/>
      <c r="L55" s="2"/>
      <c r="M55" t="s">
        <v>265</v>
      </c>
      <c r="N55" s="2" t="s">
        <v>199</v>
      </c>
      <c r="O55" s="3">
        <v>2</v>
      </c>
      <c r="P55">
        <v>10</v>
      </c>
      <c r="Q55" t="s">
        <v>274</v>
      </c>
      <c r="R55">
        <v>20</v>
      </c>
      <c r="S55" t="s">
        <v>272</v>
      </c>
      <c r="Y55" t="s">
        <v>265</v>
      </c>
    </row>
    <row r="56" spans="1:25" x14ac:dyDescent="0.25">
      <c r="A56" s="2" t="s">
        <v>134</v>
      </c>
      <c r="B56">
        <f t="shared" si="0"/>
        <v>946</v>
      </c>
      <c r="C56">
        <v>1</v>
      </c>
      <c r="F56" t="s">
        <v>255</v>
      </c>
      <c r="G56" s="2"/>
      <c r="H56" s="2"/>
      <c r="I56" s="2"/>
      <c r="K56" s="2"/>
      <c r="L56" s="2"/>
      <c r="M56" t="s">
        <v>261</v>
      </c>
      <c r="N56" s="2" t="s">
        <v>134</v>
      </c>
      <c r="O56" s="3">
        <v>2</v>
      </c>
      <c r="P56">
        <v>4</v>
      </c>
      <c r="Q56" t="s">
        <v>275</v>
      </c>
      <c r="R56" t="s">
        <v>275</v>
      </c>
      <c r="Y56" t="s">
        <v>261</v>
      </c>
    </row>
    <row r="57" spans="1:25" x14ac:dyDescent="0.25">
      <c r="A57" s="2" t="s">
        <v>200</v>
      </c>
      <c r="B57">
        <f t="shared" si="0"/>
        <v>945</v>
      </c>
      <c r="C57">
        <v>1</v>
      </c>
      <c r="F57" t="s">
        <v>256</v>
      </c>
      <c r="G57" s="2"/>
      <c r="H57" s="2"/>
      <c r="I57" s="2"/>
      <c r="J57" s="1"/>
      <c r="K57" s="2"/>
      <c r="L57" s="2"/>
      <c r="M57" t="s">
        <v>265</v>
      </c>
      <c r="N57" s="2" t="s">
        <v>200</v>
      </c>
      <c r="O57" s="3">
        <v>2</v>
      </c>
      <c r="P57">
        <v>6</v>
      </c>
      <c r="Q57" t="s">
        <v>272</v>
      </c>
      <c r="R57" t="s">
        <v>272</v>
      </c>
      <c r="Y57" t="s">
        <v>265</v>
      </c>
    </row>
    <row r="58" spans="1:25" x14ac:dyDescent="0.25">
      <c r="A58" s="2" t="s">
        <v>201</v>
      </c>
      <c r="B58">
        <f t="shared" si="0"/>
        <v>944</v>
      </c>
      <c r="C58">
        <v>1</v>
      </c>
      <c r="F58" t="s">
        <v>258</v>
      </c>
      <c r="G58" s="2"/>
      <c r="H58" s="2"/>
      <c r="I58" s="2"/>
      <c r="J58" s="1"/>
      <c r="K58" s="2"/>
      <c r="L58" s="2"/>
      <c r="M58" t="s">
        <v>262</v>
      </c>
      <c r="N58" s="2" t="s">
        <v>201</v>
      </c>
      <c r="O58" s="3">
        <v>3</v>
      </c>
      <c r="P58">
        <v>8</v>
      </c>
      <c r="Q58" t="s">
        <v>267</v>
      </c>
      <c r="R58">
        <v>30</v>
      </c>
      <c r="S58" t="s">
        <v>283</v>
      </c>
      <c r="Y58" t="s">
        <v>262</v>
      </c>
    </row>
    <row r="59" spans="1:25" x14ac:dyDescent="0.25">
      <c r="A59" s="2" t="s">
        <v>152</v>
      </c>
      <c r="B59">
        <f t="shared" si="0"/>
        <v>943</v>
      </c>
      <c r="C59">
        <v>1</v>
      </c>
      <c r="F59" t="s">
        <v>257</v>
      </c>
      <c r="G59" s="2"/>
      <c r="H59" s="2"/>
      <c r="I59" s="2"/>
      <c r="J59" s="1"/>
      <c r="K59" s="2"/>
      <c r="L59" s="2"/>
      <c r="M59" t="s">
        <v>151</v>
      </c>
      <c r="N59" s="2" t="s">
        <v>152</v>
      </c>
      <c r="O59" s="3">
        <v>2</v>
      </c>
      <c r="P59">
        <v>10</v>
      </c>
      <c r="Q59" t="s">
        <v>279</v>
      </c>
      <c r="R59" t="s">
        <v>279</v>
      </c>
      <c r="Y59" t="s">
        <v>151</v>
      </c>
    </row>
    <row r="60" spans="1:25" x14ac:dyDescent="0.25">
      <c r="G60" s="2"/>
      <c r="H60" s="2"/>
      <c r="I60" s="2"/>
      <c r="K60" s="2"/>
      <c r="L60" s="2"/>
    </row>
    <row r="61" spans="1:25" x14ac:dyDescent="0.25">
      <c r="G61" s="2"/>
      <c r="H61" s="2"/>
      <c r="I61" s="2"/>
      <c r="J61" s="1"/>
      <c r="K61" s="2"/>
      <c r="L61" s="2"/>
    </row>
    <row r="62" spans="1:25" x14ac:dyDescent="0.25">
      <c r="G62" s="2"/>
      <c r="H62" s="2"/>
      <c r="I62" s="2"/>
      <c r="J62" s="1"/>
      <c r="K62" s="2"/>
      <c r="L62" s="2"/>
    </row>
    <row r="63" spans="1:25" x14ac:dyDescent="0.25">
      <c r="G63" s="2"/>
      <c r="H63" s="2"/>
      <c r="I63" s="2"/>
      <c r="J63" s="1"/>
      <c r="K63" s="2"/>
      <c r="L63" s="2"/>
    </row>
    <row r="66" spans="6:6" x14ac:dyDescent="0.25">
      <c r="F66" t="s">
        <v>157</v>
      </c>
    </row>
    <row r="71" spans="6:6" x14ac:dyDescent="0.25">
      <c r="F71" t="s">
        <v>163</v>
      </c>
    </row>
  </sheetData>
  <autoFilter ref="A1:AB69" xr:uid="{240B48EC-7E1E-472B-AEF1-E84F33CD618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2AD0F-A1C8-4177-8CA9-0C320FF1AC8F}">
  <dimension ref="A1:AB71"/>
  <sheetViews>
    <sheetView workbookViewId="0">
      <selection activeCell="K19" sqref="K19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  <c r="J1" t="s">
        <v>9</v>
      </c>
      <c r="K1" s="2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>
        <v>0</v>
      </c>
      <c r="C2">
        <v>1</v>
      </c>
      <c r="D2">
        <v>3</v>
      </c>
      <c r="G2" s="2">
        <v>36788183</v>
      </c>
      <c r="H2" s="2">
        <v>558675</v>
      </c>
      <c r="I2" s="2">
        <v>666347</v>
      </c>
      <c r="J2" t="s">
        <v>29</v>
      </c>
      <c r="K2" s="2">
        <v>9894</v>
      </c>
      <c r="L2" s="2">
        <v>591</v>
      </c>
      <c r="M2" t="s">
        <v>30</v>
      </c>
      <c r="N2" t="s">
        <v>28</v>
      </c>
      <c r="O2">
        <v>1</v>
      </c>
      <c r="P2">
        <v>2</v>
      </c>
      <c r="Q2">
        <v>25</v>
      </c>
      <c r="R2">
        <v>25</v>
      </c>
      <c r="S2">
        <v>25</v>
      </c>
      <c r="T2">
        <v>2016</v>
      </c>
      <c r="U2">
        <v>2</v>
      </c>
      <c r="V2">
        <v>2</v>
      </c>
      <c r="W2" t="s">
        <v>31</v>
      </c>
      <c r="X2" t="s">
        <v>32</v>
      </c>
    </row>
    <row r="3" spans="1:28" x14ac:dyDescent="0.25">
      <c r="A3" t="s">
        <v>33</v>
      </c>
      <c r="B3">
        <v>0</v>
      </c>
      <c r="C3">
        <v>1</v>
      </c>
      <c r="D3">
        <v>3</v>
      </c>
      <c r="G3" s="2">
        <v>36788181</v>
      </c>
      <c r="H3" s="2">
        <v>560283</v>
      </c>
      <c r="I3" s="2">
        <v>664795</v>
      </c>
      <c r="J3" s="1">
        <v>1375</v>
      </c>
      <c r="K3" s="2">
        <v>9005</v>
      </c>
      <c r="L3" s="2">
        <v>724</v>
      </c>
      <c r="M3" t="s">
        <v>30</v>
      </c>
      <c r="N3" t="s">
        <v>33</v>
      </c>
      <c r="O3">
        <v>1</v>
      </c>
      <c r="P3">
        <v>2</v>
      </c>
      <c r="Q3">
        <v>25</v>
      </c>
      <c r="R3">
        <v>25</v>
      </c>
      <c r="S3">
        <v>25</v>
      </c>
      <c r="T3">
        <v>2016</v>
      </c>
      <c r="U3">
        <v>2</v>
      </c>
      <c r="V3">
        <v>2</v>
      </c>
      <c r="W3" t="s">
        <v>34</v>
      </c>
      <c r="X3" t="s">
        <v>35</v>
      </c>
    </row>
    <row r="4" spans="1:28" x14ac:dyDescent="0.25">
      <c r="A4" t="s">
        <v>36</v>
      </c>
      <c r="B4">
        <v>6</v>
      </c>
      <c r="C4">
        <v>1</v>
      </c>
      <c r="D4">
        <v>3</v>
      </c>
      <c r="F4" t="s">
        <v>37</v>
      </c>
      <c r="G4" s="2">
        <v>23287574</v>
      </c>
      <c r="H4" s="2">
        <v>755414</v>
      </c>
      <c r="I4" s="2">
        <v>766642</v>
      </c>
      <c r="J4" s="1">
        <v>23152</v>
      </c>
      <c r="K4" s="2">
        <v>111</v>
      </c>
      <c r="L4" s="2">
        <v>152070</v>
      </c>
      <c r="M4" t="s">
        <v>30</v>
      </c>
      <c r="N4" t="s">
        <v>36</v>
      </c>
      <c r="O4">
        <v>2</v>
      </c>
      <c r="P4">
        <v>7</v>
      </c>
      <c r="Q4">
        <v>30</v>
      </c>
      <c r="R4">
        <v>30</v>
      </c>
      <c r="S4">
        <v>30</v>
      </c>
      <c r="T4">
        <v>2010</v>
      </c>
      <c r="U4" t="s">
        <v>38</v>
      </c>
      <c r="V4">
        <v>4.5</v>
      </c>
      <c r="W4" t="s">
        <v>39</v>
      </c>
      <c r="X4" t="s">
        <v>40</v>
      </c>
    </row>
    <row r="5" spans="1:28" x14ac:dyDescent="0.25">
      <c r="A5" t="s">
        <v>41</v>
      </c>
      <c r="B5">
        <v>0</v>
      </c>
      <c r="C5">
        <v>1</v>
      </c>
      <c r="D5">
        <v>3</v>
      </c>
      <c r="F5" t="s">
        <v>42</v>
      </c>
      <c r="G5" s="2">
        <v>57858448</v>
      </c>
      <c r="H5" s="2">
        <v>761183</v>
      </c>
      <c r="I5" s="2">
        <v>772179</v>
      </c>
      <c r="J5" s="1">
        <v>1774</v>
      </c>
      <c r="K5" s="2">
        <v>92</v>
      </c>
      <c r="L5" s="2">
        <v>172904</v>
      </c>
      <c r="M5" t="s">
        <v>30</v>
      </c>
      <c r="N5" t="s">
        <v>41</v>
      </c>
      <c r="O5">
        <v>2</v>
      </c>
      <c r="P5">
        <v>4</v>
      </c>
      <c r="Q5">
        <v>45</v>
      </c>
      <c r="R5">
        <v>45</v>
      </c>
      <c r="S5">
        <v>30</v>
      </c>
      <c r="T5">
        <v>2017</v>
      </c>
      <c r="U5" t="s">
        <v>43</v>
      </c>
      <c r="V5">
        <v>2</v>
      </c>
      <c r="W5" t="s">
        <v>34</v>
      </c>
      <c r="X5" t="s">
        <v>40</v>
      </c>
    </row>
    <row r="6" spans="1:28" x14ac:dyDescent="0.25">
      <c r="A6" t="s">
        <v>44</v>
      </c>
      <c r="B6">
        <v>0</v>
      </c>
      <c r="C6">
        <v>1</v>
      </c>
      <c r="D6">
        <v>3</v>
      </c>
      <c r="F6" t="s">
        <v>45</v>
      </c>
      <c r="G6" s="2">
        <v>86084207</v>
      </c>
      <c r="H6" s="2">
        <v>61236</v>
      </c>
      <c r="I6" s="2">
        <v>640265</v>
      </c>
      <c r="J6" s="1">
        <v>11217</v>
      </c>
      <c r="K6" s="2">
        <v>2496</v>
      </c>
      <c r="L6" s="2">
        <v>13292</v>
      </c>
      <c r="M6" t="s">
        <v>30</v>
      </c>
      <c r="N6" t="s">
        <v>44</v>
      </c>
      <c r="O6">
        <v>1</v>
      </c>
      <c r="P6">
        <v>4</v>
      </c>
      <c r="Q6">
        <v>15</v>
      </c>
      <c r="R6">
        <v>15</v>
      </c>
      <c r="S6">
        <v>10</v>
      </c>
      <c r="T6">
        <v>2016</v>
      </c>
      <c r="U6" t="s">
        <v>46</v>
      </c>
      <c r="V6">
        <v>2</v>
      </c>
      <c r="W6" t="s">
        <v>31</v>
      </c>
      <c r="X6" t="s">
        <v>40</v>
      </c>
    </row>
    <row r="7" spans="1:28" x14ac:dyDescent="0.25">
      <c r="A7" t="s">
        <v>47</v>
      </c>
      <c r="B7">
        <v>8</v>
      </c>
      <c r="C7">
        <v>1</v>
      </c>
      <c r="D7">
        <v>3</v>
      </c>
      <c r="F7" t="s">
        <v>48</v>
      </c>
      <c r="G7" s="2">
        <v>29678302</v>
      </c>
      <c r="H7" s="2">
        <v>653905</v>
      </c>
      <c r="I7" s="2">
        <v>691757</v>
      </c>
      <c r="J7" s="1">
        <v>18476</v>
      </c>
      <c r="K7" s="2">
        <v>0</v>
      </c>
      <c r="L7" s="2">
        <v>16988</v>
      </c>
      <c r="M7" t="s">
        <v>30</v>
      </c>
      <c r="N7" t="s">
        <v>47</v>
      </c>
      <c r="O7">
        <v>3</v>
      </c>
      <c r="P7">
        <v>8</v>
      </c>
      <c r="Q7">
        <v>40</v>
      </c>
      <c r="R7">
        <v>40</v>
      </c>
      <c r="S7">
        <v>20</v>
      </c>
      <c r="T7">
        <v>2007</v>
      </c>
      <c r="U7" t="s">
        <v>49</v>
      </c>
      <c r="V7">
        <v>6.7</v>
      </c>
      <c r="W7" t="s">
        <v>34</v>
      </c>
      <c r="X7" t="s">
        <v>35</v>
      </c>
    </row>
    <row r="8" spans="1:28" x14ac:dyDescent="0.25">
      <c r="A8" t="s">
        <v>50</v>
      </c>
      <c r="B8">
        <v>0</v>
      </c>
      <c r="C8">
        <v>1</v>
      </c>
      <c r="D8">
        <v>3</v>
      </c>
      <c r="G8" s="2">
        <v>22498843</v>
      </c>
      <c r="H8" s="2">
        <v>578095</v>
      </c>
      <c r="I8" s="2">
        <v>630132</v>
      </c>
      <c r="J8" s="1">
        <v>17368</v>
      </c>
      <c r="K8" s="2">
        <v>4908</v>
      </c>
      <c r="L8" s="2">
        <v>2737</v>
      </c>
      <c r="M8" t="s">
        <v>30</v>
      </c>
      <c r="N8" t="s">
        <v>51</v>
      </c>
      <c r="O8">
        <v>2</v>
      </c>
      <c r="P8">
        <v>5</v>
      </c>
      <c r="Q8">
        <v>45</v>
      </c>
      <c r="R8">
        <v>45</v>
      </c>
      <c r="S8">
        <v>30</v>
      </c>
      <c r="T8">
        <v>2009</v>
      </c>
      <c r="U8" t="s">
        <v>52</v>
      </c>
      <c r="V8">
        <v>4</v>
      </c>
      <c r="W8" t="s">
        <v>34</v>
      </c>
      <c r="X8" t="s">
        <v>40</v>
      </c>
    </row>
    <row r="9" spans="1:28" x14ac:dyDescent="0.25">
      <c r="A9" t="s">
        <v>53</v>
      </c>
      <c r="B9">
        <v>0</v>
      </c>
      <c r="C9">
        <v>1</v>
      </c>
      <c r="D9">
        <v>3</v>
      </c>
      <c r="F9" t="s">
        <v>54</v>
      </c>
      <c r="G9" s="2">
        <v>86084214</v>
      </c>
      <c r="H9" s="2">
        <v>739796</v>
      </c>
      <c r="I9" s="2">
        <v>756383</v>
      </c>
      <c r="J9" s="1">
        <v>18874</v>
      </c>
      <c r="K9" s="2">
        <v>174</v>
      </c>
      <c r="L9" s="2">
        <v>59698</v>
      </c>
      <c r="M9" t="s">
        <v>30</v>
      </c>
      <c r="N9" t="s">
        <v>53</v>
      </c>
      <c r="O9">
        <v>1</v>
      </c>
      <c r="P9">
        <v>100</v>
      </c>
      <c r="Q9">
        <v>45</v>
      </c>
      <c r="R9">
        <v>45</v>
      </c>
      <c r="S9">
        <v>30</v>
      </c>
      <c r="T9">
        <v>2019</v>
      </c>
      <c r="U9" t="s">
        <v>55</v>
      </c>
      <c r="V9">
        <v>3.4</v>
      </c>
      <c r="W9" t="s">
        <v>34</v>
      </c>
      <c r="X9" t="s">
        <v>32</v>
      </c>
    </row>
    <row r="10" spans="1:28" x14ac:dyDescent="0.25">
      <c r="A10" t="s">
        <v>56</v>
      </c>
      <c r="B10">
        <v>9</v>
      </c>
      <c r="C10">
        <v>1</v>
      </c>
      <c r="D10">
        <v>3</v>
      </c>
      <c r="F10" t="s">
        <v>57</v>
      </c>
      <c r="G10" s="2">
        <v>18480092</v>
      </c>
      <c r="H10" s="2">
        <v>690626</v>
      </c>
      <c r="I10" s="2">
        <v>709081</v>
      </c>
      <c r="J10" s="1">
        <v>22855</v>
      </c>
      <c r="K10" s="2">
        <v>603</v>
      </c>
      <c r="L10" s="2">
        <v>230312</v>
      </c>
      <c r="M10" t="s">
        <v>30</v>
      </c>
      <c r="N10" t="s">
        <v>56</v>
      </c>
      <c r="O10">
        <v>3</v>
      </c>
      <c r="P10">
        <v>4</v>
      </c>
      <c r="Q10">
        <v>120</v>
      </c>
      <c r="R10">
        <v>120</v>
      </c>
      <c r="S10">
        <v>60</v>
      </c>
      <c r="T10">
        <v>1995</v>
      </c>
      <c r="U10">
        <v>3.4</v>
      </c>
      <c r="V10">
        <v>4</v>
      </c>
      <c r="W10" t="s">
        <v>34</v>
      </c>
      <c r="X10" t="s">
        <v>32</v>
      </c>
    </row>
    <row r="11" spans="1:28" x14ac:dyDescent="0.25">
      <c r="A11" t="s">
        <v>58</v>
      </c>
      <c r="B11">
        <v>0</v>
      </c>
      <c r="C11">
        <v>1</v>
      </c>
      <c r="D11">
        <v>3</v>
      </c>
      <c r="F11" t="s">
        <v>59</v>
      </c>
      <c r="G11" s="2">
        <v>18480105</v>
      </c>
      <c r="H11" s="2">
        <v>693274</v>
      </c>
      <c r="I11" s="2">
        <v>705578</v>
      </c>
      <c r="J11" s="1">
        <v>20473</v>
      </c>
      <c r="K11" s="2">
        <v>570</v>
      </c>
      <c r="L11" s="2">
        <v>78087</v>
      </c>
      <c r="M11" t="s">
        <v>30</v>
      </c>
      <c r="N11" t="s">
        <v>58</v>
      </c>
      <c r="O11">
        <v>2</v>
      </c>
      <c r="P11">
        <v>8</v>
      </c>
      <c r="Q11">
        <v>60</v>
      </c>
      <c r="R11">
        <v>60</v>
      </c>
      <c r="S11">
        <v>20</v>
      </c>
      <c r="T11">
        <v>2000</v>
      </c>
      <c r="U11" t="s">
        <v>60</v>
      </c>
      <c r="V11">
        <v>5</v>
      </c>
      <c r="W11" t="s">
        <v>39</v>
      </c>
      <c r="X11" t="s">
        <v>35</v>
      </c>
    </row>
    <row r="12" spans="1:28" x14ac:dyDescent="0.25">
      <c r="A12" t="s">
        <v>61</v>
      </c>
      <c r="B12">
        <v>0</v>
      </c>
      <c r="C12">
        <v>1</v>
      </c>
      <c r="D12">
        <v>3</v>
      </c>
      <c r="G12" s="2">
        <v>36701765</v>
      </c>
      <c r="H12" s="2">
        <v>543979</v>
      </c>
      <c r="I12" s="2">
        <v>515017</v>
      </c>
      <c r="J12" s="1">
        <v>1619</v>
      </c>
      <c r="K12" s="2">
        <v>29110</v>
      </c>
      <c r="L12" s="2">
        <v>579</v>
      </c>
      <c r="M12" t="s">
        <v>30</v>
      </c>
      <c r="N12" t="s">
        <v>61</v>
      </c>
      <c r="O12">
        <v>2</v>
      </c>
      <c r="P12">
        <v>6</v>
      </c>
      <c r="Q12">
        <v>90</v>
      </c>
      <c r="R12">
        <v>90</v>
      </c>
      <c r="S12">
        <v>90</v>
      </c>
      <c r="T12">
        <v>1978</v>
      </c>
      <c r="U12" t="s">
        <v>62</v>
      </c>
      <c r="V12">
        <v>5.6</v>
      </c>
    </row>
    <row r="13" spans="1:28" x14ac:dyDescent="0.25">
      <c r="A13" t="s">
        <v>63</v>
      </c>
      <c r="B13">
        <v>7</v>
      </c>
      <c r="C13">
        <v>1</v>
      </c>
      <c r="D13">
        <v>3</v>
      </c>
      <c r="F13" t="s">
        <v>64</v>
      </c>
      <c r="G13" s="2">
        <v>22462113</v>
      </c>
      <c r="H13" s="2">
        <v>682272</v>
      </c>
      <c r="I13" s="2">
        <v>698127</v>
      </c>
      <c r="J13" s="1">
        <v>12709</v>
      </c>
      <c r="K13" s="2">
        <v>712</v>
      </c>
      <c r="L13" s="2">
        <v>30768</v>
      </c>
      <c r="M13" t="s">
        <v>30</v>
      </c>
      <c r="N13" t="s">
        <v>63</v>
      </c>
      <c r="O13">
        <v>2</v>
      </c>
      <c r="P13">
        <v>5</v>
      </c>
      <c r="Q13">
        <v>30</v>
      </c>
      <c r="R13">
        <v>30</v>
      </c>
      <c r="S13">
        <v>30</v>
      </c>
      <c r="T13">
        <v>2003</v>
      </c>
      <c r="U13" t="s">
        <v>65</v>
      </c>
      <c r="V13">
        <v>4</v>
      </c>
      <c r="W13" t="s">
        <v>31</v>
      </c>
      <c r="X13" t="s">
        <v>40</v>
      </c>
    </row>
    <row r="14" spans="1:28" x14ac:dyDescent="0.25">
      <c r="A14" t="s">
        <v>66</v>
      </c>
      <c r="B14">
        <v>9</v>
      </c>
      <c r="C14">
        <v>1</v>
      </c>
      <c r="D14">
        <v>3</v>
      </c>
      <c r="F14" t="s">
        <v>67</v>
      </c>
      <c r="G14" s="2">
        <v>36641212</v>
      </c>
      <c r="H14" s="2">
        <v>683387</v>
      </c>
      <c r="I14" s="2">
        <v>697661</v>
      </c>
      <c r="J14" s="1">
        <v>1412</v>
      </c>
      <c r="K14" s="2">
        <v>701</v>
      </c>
      <c r="L14" s="2">
        <v>89979</v>
      </c>
      <c r="M14" t="s">
        <v>30</v>
      </c>
      <c r="N14" t="s">
        <v>66</v>
      </c>
      <c r="O14">
        <v>2</v>
      </c>
      <c r="P14">
        <v>6</v>
      </c>
      <c r="Q14">
        <v>15</v>
      </c>
      <c r="R14">
        <v>15</v>
      </c>
      <c r="S14">
        <v>15</v>
      </c>
      <c r="T14">
        <v>2012</v>
      </c>
      <c r="U14" t="s">
        <v>68</v>
      </c>
      <c r="V14">
        <v>5</v>
      </c>
      <c r="W14" t="s">
        <v>39</v>
      </c>
      <c r="X14" t="s">
        <v>32</v>
      </c>
    </row>
    <row r="15" spans="1:28" x14ac:dyDescent="0.25">
      <c r="A15" t="s">
        <v>69</v>
      </c>
      <c r="B15">
        <v>9</v>
      </c>
      <c r="C15">
        <v>1</v>
      </c>
      <c r="D15">
        <v>3</v>
      </c>
      <c r="F15" t="s">
        <v>70</v>
      </c>
      <c r="G15" s="2">
        <v>29678263</v>
      </c>
      <c r="H15" s="2">
        <v>747529</v>
      </c>
      <c r="I15" s="2">
        <v>759723</v>
      </c>
      <c r="J15" s="1">
        <v>23456</v>
      </c>
      <c r="K15" s="2">
        <v>142</v>
      </c>
      <c r="L15" s="2">
        <v>127834</v>
      </c>
      <c r="M15" t="s">
        <v>30</v>
      </c>
      <c r="N15" t="s">
        <v>69</v>
      </c>
      <c r="O15">
        <v>2</v>
      </c>
      <c r="P15">
        <v>4</v>
      </c>
      <c r="Q15">
        <v>30</v>
      </c>
      <c r="R15">
        <v>30</v>
      </c>
      <c r="S15">
        <v>30</v>
      </c>
      <c r="T15">
        <v>2008</v>
      </c>
      <c r="U15" t="s">
        <v>43</v>
      </c>
      <c r="V15">
        <v>3</v>
      </c>
      <c r="W15" t="s">
        <v>39</v>
      </c>
      <c r="X15" t="s">
        <v>35</v>
      </c>
    </row>
    <row r="16" spans="1:28" x14ac:dyDescent="0.25">
      <c r="A16" t="s">
        <v>71</v>
      </c>
      <c r="B16">
        <v>0</v>
      </c>
      <c r="C16">
        <v>1</v>
      </c>
      <c r="D16">
        <v>3</v>
      </c>
      <c r="G16" s="2">
        <v>36699378</v>
      </c>
      <c r="H16" s="2">
        <v>583524</v>
      </c>
      <c r="I16" s="2">
        <v>61206</v>
      </c>
      <c r="J16" s="1">
        <v>1223</v>
      </c>
      <c r="K16" s="2">
        <v>4331</v>
      </c>
      <c r="L16" s="2">
        <v>11382</v>
      </c>
      <c r="M16" t="s">
        <v>30</v>
      </c>
      <c r="N16" t="s">
        <v>71</v>
      </c>
      <c r="O16">
        <v>1</v>
      </c>
      <c r="P16">
        <v>7</v>
      </c>
      <c r="Q16">
        <v>30</v>
      </c>
      <c r="R16">
        <v>30</v>
      </c>
      <c r="S16">
        <v>30</v>
      </c>
      <c r="T16">
        <v>1996</v>
      </c>
      <c r="U16" t="s">
        <v>38</v>
      </c>
      <c r="V16">
        <v>4</v>
      </c>
      <c r="W16" t="s">
        <v>34</v>
      </c>
      <c r="X16" t="s">
        <v>40</v>
      </c>
    </row>
    <row r="17" spans="1:24" x14ac:dyDescent="0.25">
      <c r="A17" t="s">
        <v>72</v>
      </c>
      <c r="B17">
        <v>8</v>
      </c>
      <c r="C17">
        <v>1</v>
      </c>
      <c r="D17">
        <v>3</v>
      </c>
      <c r="F17" t="s">
        <v>73</v>
      </c>
      <c r="G17" s="2">
        <v>22498770</v>
      </c>
      <c r="H17" s="2">
        <v>556294</v>
      </c>
      <c r="I17" s="2">
        <v>567864</v>
      </c>
      <c r="J17" s="1">
        <v>13885</v>
      </c>
      <c r="K17" s="2">
        <v>11624</v>
      </c>
      <c r="L17" s="2">
        <v>32591</v>
      </c>
      <c r="M17" t="s">
        <v>30</v>
      </c>
      <c r="N17" t="s">
        <v>72</v>
      </c>
      <c r="O17">
        <v>2</v>
      </c>
      <c r="P17">
        <v>6</v>
      </c>
      <c r="Q17">
        <v>30</v>
      </c>
      <c r="R17">
        <v>30</v>
      </c>
      <c r="S17">
        <v>5</v>
      </c>
      <c r="T17">
        <v>1997</v>
      </c>
      <c r="U17" t="s">
        <v>74</v>
      </c>
      <c r="V17">
        <v>4</v>
      </c>
      <c r="W17" t="s">
        <v>34</v>
      </c>
      <c r="X17" t="s">
        <v>75</v>
      </c>
    </row>
    <row r="18" spans="1:24" x14ac:dyDescent="0.25">
      <c r="A18" t="s">
        <v>76</v>
      </c>
      <c r="B18">
        <v>8</v>
      </c>
      <c r="C18">
        <v>1</v>
      </c>
      <c r="D18">
        <v>3</v>
      </c>
      <c r="F18" t="s">
        <v>77</v>
      </c>
      <c r="G18" s="2">
        <v>22498748</v>
      </c>
      <c r="H18" s="2">
        <v>691675</v>
      </c>
      <c r="I18" s="2">
        <v>706398</v>
      </c>
      <c r="J18" s="1">
        <v>20398</v>
      </c>
      <c r="K18" s="2">
        <v>592</v>
      </c>
      <c r="L18" s="2">
        <v>57659</v>
      </c>
      <c r="M18" t="s">
        <v>30</v>
      </c>
      <c r="N18" t="s">
        <v>76</v>
      </c>
      <c r="O18">
        <v>2</v>
      </c>
      <c r="P18">
        <v>5</v>
      </c>
      <c r="Q18">
        <v>45</v>
      </c>
      <c r="R18">
        <v>45</v>
      </c>
      <c r="S18">
        <v>45</v>
      </c>
      <c r="T18">
        <v>2013</v>
      </c>
      <c r="U18" t="s">
        <v>78</v>
      </c>
      <c r="V18">
        <v>4</v>
      </c>
      <c r="W18" t="s">
        <v>34</v>
      </c>
      <c r="X18" t="s">
        <v>32</v>
      </c>
    </row>
    <row r="19" spans="1:24" x14ac:dyDescent="0.25">
      <c r="A19" t="s">
        <v>79</v>
      </c>
      <c r="B19">
        <v>7</v>
      </c>
      <c r="C19">
        <v>1</v>
      </c>
      <c r="D19">
        <v>3</v>
      </c>
      <c r="F19" t="s">
        <v>80</v>
      </c>
      <c r="G19" s="2">
        <v>18479877</v>
      </c>
      <c r="H19" s="2">
        <v>664351</v>
      </c>
      <c r="I19" s="2">
        <v>675228</v>
      </c>
      <c r="J19" s="1">
        <v>17385</v>
      </c>
      <c r="K19" s="2">
        <v>1001</v>
      </c>
      <c r="L19" s="2">
        <v>98609</v>
      </c>
      <c r="M19" t="s">
        <v>30</v>
      </c>
      <c r="N19" t="s">
        <v>79</v>
      </c>
      <c r="O19">
        <v>2</v>
      </c>
      <c r="P19">
        <v>4</v>
      </c>
      <c r="Q19">
        <v>30</v>
      </c>
      <c r="R19">
        <v>30</v>
      </c>
      <c r="S19">
        <v>30</v>
      </c>
      <c r="T19">
        <v>2010</v>
      </c>
      <c r="U19" t="s">
        <v>46</v>
      </c>
      <c r="V19">
        <v>4</v>
      </c>
      <c r="W19" t="s">
        <v>34</v>
      </c>
      <c r="X19" t="s">
        <v>32</v>
      </c>
    </row>
    <row r="20" spans="1:24" x14ac:dyDescent="0.25">
      <c r="A20" t="s">
        <v>81</v>
      </c>
      <c r="B20">
        <v>0</v>
      </c>
      <c r="C20">
        <v>1</v>
      </c>
      <c r="D20">
        <v>3</v>
      </c>
      <c r="F20" t="s">
        <v>82</v>
      </c>
      <c r="G20" s="2">
        <v>36699371</v>
      </c>
      <c r="H20" s="2">
        <v>0</v>
      </c>
      <c r="I20" s="2" t="s">
        <v>83</v>
      </c>
      <c r="J20">
        <v>1</v>
      </c>
      <c r="K20" s="2">
        <v>0</v>
      </c>
      <c r="L20" s="2">
        <v>11</v>
      </c>
      <c r="M20" t="s">
        <v>30</v>
      </c>
      <c r="N20" t="s">
        <v>81</v>
      </c>
      <c r="O20">
        <v>2</v>
      </c>
      <c r="P20">
        <v>2</v>
      </c>
      <c r="Q20">
        <v>15</v>
      </c>
      <c r="R20">
        <v>15</v>
      </c>
      <c r="S20">
        <v>15</v>
      </c>
      <c r="T20">
        <v>0</v>
      </c>
    </row>
    <row r="21" spans="1:24" x14ac:dyDescent="0.25">
      <c r="A21" t="s">
        <v>84</v>
      </c>
      <c r="B21">
        <v>0</v>
      </c>
      <c r="C21">
        <v>1</v>
      </c>
      <c r="D21">
        <v>3</v>
      </c>
      <c r="F21" t="s">
        <v>85</v>
      </c>
      <c r="G21" s="2">
        <v>86084240</v>
      </c>
      <c r="H21" s="2">
        <v>577733</v>
      </c>
      <c r="I21" s="2">
        <v>684594</v>
      </c>
      <c r="J21" s="1">
        <v>11765</v>
      </c>
      <c r="K21" s="2">
        <v>0</v>
      </c>
      <c r="L21" s="2">
        <v>1727</v>
      </c>
      <c r="M21" t="s">
        <v>30</v>
      </c>
      <c r="N21" t="s">
        <v>84</v>
      </c>
      <c r="O21">
        <v>1</v>
      </c>
      <c r="P21">
        <v>5</v>
      </c>
      <c r="Q21">
        <v>20</v>
      </c>
      <c r="R21">
        <v>20</v>
      </c>
      <c r="S21">
        <v>20</v>
      </c>
      <c r="T21">
        <v>2015</v>
      </c>
      <c r="U21" t="s">
        <v>78</v>
      </c>
      <c r="V21">
        <v>3.4</v>
      </c>
      <c r="W21" t="s">
        <v>34</v>
      </c>
      <c r="X21" t="s">
        <v>40</v>
      </c>
    </row>
    <row r="22" spans="1:24" x14ac:dyDescent="0.25">
      <c r="A22" t="s">
        <v>86</v>
      </c>
      <c r="B22">
        <v>6</v>
      </c>
      <c r="C22">
        <v>1</v>
      </c>
      <c r="D22">
        <v>3</v>
      </c>
      <c r="F22" t="s">
        <v>87</v>
      </c>
      <c r="G22" s="2">
        <v>22498879</v>
      </c>
      <c r="H22" s="2">
        <v>549665</v>
      </c>
      <c r="I22" s="2">
        <v>558714</v>
      </c>
      <c r="J22">
        <v>1</v>
      </c>
      <c r="K22" s="2">
        <v>25584</v>
      </c>
      <c r="L22" s="2">
        <v>475</v>
      </c>
      <c r="M22" t="s">
        <v>30</v>
      </c>
      <c r="N22" t="s">
        <v>86</v>
      </c>
      <c r="O22">
        <v>2</v>
      </c>
      <c r="P22">
        <v>6</v>
      </c>
      <c r="Q22">
        <v>20</v>
      </c>
      <c r="R22">
        <v>20</v>
      </c>
      <c r="S22">
        <v>20</v>
      </c>
      <c r="T22">
        <v>2007</v>
      </c>
      <c r="U22" t="s">
        <v>68</v>
      </c>
      <c r="V22">
        <v>5</v>
      </c>
      <c r="W22" t="s">
        <v>31</v>
      </c>
      <c r="X22" t="s">
        <v>40</v>
      </c>
    </row>
    <row r="23" spans="1:24" x14ac:dyDescent="0.25">
      <c r="A23" t="s">
        <v>88</v>
      </c>
      <c r="B23">
        <v>0</v>
      </c>
      <c r="C23">
        <v>1</v>
      </c>
      <c r="D23">
        <v>3</v>
      </c>
      <c r="G23" s="2">
        <v>22498934</v>
      </c>
      <c r="H23" s="2">
        <v>730883</v>
      </c>
      <c r="I23" s="2">
        <v>765871</v>
      </c>
      <c r="J23" s="1">
        <v>39106</v>
      </c>
      <c r="K23" s="2">
        <v>225</v>
      </c>
      <c r="L23" s="2">
        <v>25927</v>
      </c>
      <c r="M23" t="s">
        <v>30</v>
      </c>
      <c r="N23" t="s">
        <v>88</v>
      </c>
      <c r="O23">
        <v>2</v>
      </c>
      <c r="P23">
        <v>2</v>
      </c>
      <c r="Q23">
        <v>180</v>
      </c>
      <c r="R23">
        <v>180</v>
      </c>
      <c r="S23">
        <v>30</v>
      </c>
      <c r="T23">
        <v>-2200</v>
      </c>
      <c r="U23">
        <v>2</v>
      </c>
      <c r="V23">
        <v>2</v>
      </c>
      <c r="W23" t="s">
        <v>31</v>
      </c>
      <c r="X23" t="s">
        <v>40</v>
      </c>
    </row>
    <row r="24" spans="1:24" x14ac:dyDescent="0.25">
      <c r="A24" t="s">
        <v>89</v>
      </c>
      <c r="B24">
        <v>0</v>
      </c>
      <c r="C24">
        <v>1</v>
      </c>
      <c r="D24">
        <v>3</v>
      </c>
      <c r="F24" t="s">
        <v>90</v>
      </c>
      <c r="G24" s="2">
        <v>30793078</v>
      </c>
      <c r="H24" s="2">
        <v>550344</v>
      </c>
      <c r="I24" s="2">
        <v>553521</v>
      </c>
      <c r="J24" s="1">
        <v>12143</v>
      </c>
      <c r="K24" s="2">
        <v>23908</v>
      </c>
      <c r="L24" s="2">
        <v>400</v>
      </c>
      <c r="M24" t="s">
        <v>30</v>
      </c>
      <c r="N24" t="s">
        <v>89</v>
      </c>
      <c r="O24">
        <v>3</v>
      </c>
      <c r="P24">
        <v>6</v>
      </c>
      <c r="Q24">
        <v>45</v>
      </c>
      <c r="R24">
        <v>45</v>
      </c>
      <c r="S24">
        <v>45</v>
      </c>
      <c r="T24">
        <v>2005</v>
      </c>
      <c r="U24" t="s">
        <v>62</v>
      </c>
      <c r="V24">
        <v>4</v>
      </c>
      <c r="X24" t="s">
        <v>40</v>
      </c>
    </row>
    <row r="25" spans="1:24" x14ac:dyDescent="0.25">
      <c r="A25" t="s">
        <v>91</v>
      </c>
      <c r="B25">
        <v>7</v>
      </c>
      <c r="C25">
        <v>1</v>
      </c>
      <c r="D25">
        <v>3</v>
      </c>
      <c r="G25" s="2">
        <v>22498777</v>
      </c>
      <c r="H25" s="2">
        <v>639139</v>
      </c>
      <c r="I25" s="2">
        <v>654031</v>
      </c>
      <c r="J25" s="1">
        <v>12696</v>
      </c>
      <c r="K25" s="2">
        <v>1566</v>
      </c>
      <c r="L25" s="2">
        <v>34088</v>
      </c>
      <c r="M25" t="s">
        <v>30</v>
      </c>
      <c r="N25" t="s">
        <v>91</v>
      </c>
      <c r="O25">
        <v>2</v>
      </c>
      <c r="P25">
        <v>5</v>
      </c>
      <c r="Q25">
        <v>30</v>
      </c>
      <c r="R25">
        <v>30</v>
      </c>
      <c r="S25">
        <v>30</v>
      </c>
      <c r="T25">
        <v>1998</v>
      </c>
      <c r="U25" t="s">
        <v>65</v>
      </c>
      <c r="V25">
        <v>4</v>
      </c>
      <c r="W25" t="s">
        <v>39</v>
      </c>
      <c r="X25" t="s">
        <v>35</v>
      </c>
    </row>
    <row r="26" spans="1:24" x14ac:dyDescent="0.25">
      <c r="A26" t="s">
        <v>92</v>
      </c>
      <c r="B26">
        <v>7</v>
      </c>
      <c r="C26">
        <v>1</v>
      </c>
      <c r="D26">
        <v>3</v>
      </c>
      <c r="F26" t="s">
        <v>93</v>
      </c>
      <c r="G26" s="2">
        <v>22498768</v>
      </c>
      <c r="H26" s="2">
        <v>69239</v>
      </c>
      <c r="I26" s="2">
        <v>703101</v>
      </c>
      <c r="J26" s="1">
        <v>16915</v>
      </c>
      <c r="K26" s="2">
        <v>582</v>
      </c>
      <c r="L26" s="2">
        <v>88242</v>
      </c>
      <c r="M26" t="s">
        <v>30</v>
      </c>
      <c r="N26" t="s">
        <v>92</v>
      </c>
      <c r="O26">
        <v>2</v>
      </c>
      <c r="P26">
        <v>5</v>
      </c>
      <c r="Q26">
        <v>25</v>
      </c>
      <c r="R26">
        <v>25</v>
      </c>
      <c r="S26">
        <v>25</v>
      </c>
      <c r="T26">
        <v>2010</v>
      </c>
      <c r="U26" t="s">
        <v>65</v>
      </c>
      <c r="V26">
        <v>4</v>
      </c>
      <c r="W26" t="s">
        <v>39</v>
      </c>
      <c r="X26" t="s">
        <v>40</v>
      </c>
    </row>
    <row r="27" spans="1:24" x14ac:dyDescent="0.25">
      <c r="A27" t="s">
        <v>94</v>
      </c>
      <c r="B27">
        <v>6</v>
      </c>
      <c r="C27">
        <v>1</v>
      </c>
      <c r="D27">
        <v>3</v>
      </c>
      <c r="G27" s="2">
        <v>30696910</v>
      </c>
      <c r="H27" s="2">
        <v>55202</v>
      </c>
      <c r="I27" s="2">
        <v>58004</v>
      </c>
      <c r="J27">
        <v>1</v>
      </c>
      <c r="K27" s="2">
        <v>18770</v>
      </c>
      <c r="L27" s="2">
        <v>469</v>
      </c>
      <c r="M27" t="s">
        <v>30</v>
      </c>
      <c r="N27" t="s">
        <v>94</v>
      </c>
      <c r="O27">
        <v>2</v>
      </c>
      <c r="P27">
        <v>4</v>
      </c>
      <c r="Q27">
        <v>10</v>
      </c>
      <c r="R27">
        <v>10</v>
      </c>
      <c r="S27">
        <v>10</v>
      </c>
      <c r="T27">
        <v>1999</v>
      </c>
      <c r="U27">
        <v>2.2999999999999998</v>
      </c>
      <c r="V27">
        <v>2</v>
      </c>
      <c r="W27" t="s">
        <v>95</v>
      </c>
      <c r="X27" t="s">
        <v>40</v>
      </c>
    </row>
    <row r="28" spans="1:24" x14ac:dyDescent="0.25">
      <c r="A28" t="s">
        <v>96</v>
      </c>
      <c r="B28">
        <v>6</v>
      </c>
      <c r="C28">
        <v>1</v>
      </c>
      <c r="D28">
        <v>3</v>
      </c>
      <c r="F28" t="s">
        <v>97</v>
      </c>
      <c r="G28" s="2">
        <v>23544404</v>
      </c>
      <c r="H28" s="2">
        <v>716976</v>
      </c>
      <c r="I28" s="2">
        <v>731741</v>
      </c>
      <c r="J28" s="1">
        <v>23147</v>
      </c>
      <c r="K28" s="2">
        <v>325</v>
      </c>
      <c r="L28" s="2">
        <v>56335</v>
      </c>
      <c r="M28" t="s">
        <v>30</v>
      </c>
      <c r="N28" t="s">
        <v>96</v>
      </c>
      <c r="O28">
        <v>2</v>
      </c>
      <c r="P28">
        <v>2</v>
      </c>
      <c r="Q28">
        <v>20</v>
      </c>
      <c r="R28">
        <v>20</v>
      </c>
      <c r="S28">
        <v>20</v>
      </c>
      <c r="T28">
        <v>2001</v>
      </c>
      <c r="U28">
        <v>2</v>
      </c>
      <c r="V28">
        <v>2</v>
      </c>
      <c r="W28" t="s">
        <v>34</v>
      </c>
      <c r="X28" t="s">
        <v>40</v>
      </c>
    </row>
    <row r="29" spans="1:24" x14ac:dyDescent="0.25">
      <c r="A29" t="s">
        <v>98</v>
      </c>
      <c r="B29">
        <v>0</v>
      </c>
      <c r="C29">
        <v>1</v>
      </c>
      <c r="D29">
        <v>3</v>
      </c>
      <c r="G29" s="2">
        <v>30793100</v>
      </c>
      <c r="H29" s="2">
        <v>556869</v>
      </c>
      <c r="I29" s="2">
        <v>626307</v>
      </c>
      <c r="J29" s="1">
        <v>11364</v>
      </c>
      <c r="K29" s="2">
        <v>11144</v>
      </c>
      <c r="L29" s="2">
        <v>696</v>
      </c>
      <c r="M29" t="s">
        <v>30</v>
      </c>
      <c r="N29" t="s">
        <v>98</v>
      </c>
      <c r="O29">
        <v>2</v>
      </c>
      <c r="P29">
        <v>4</v>
      </c>
      <c r="Q29">
        <v>5</v>
      </c>
      <c r="R29">
        <v>5</v>
      </c>
      <c r="S29">
        <v>5</v>
      </c>
      <c r="T29">
        <v>2011</v>
      </c>
      <c r="U29" t="s">
        <v>43</v>
      </c>
      <c r="V29">
        <v>2</v>
      </c>
      <c r="W29" t="s">
        <v>31</v>
      </c>
      <c r="X29" t="s">
        <v>40</v>
      </c>
    </row>
    <row r="30" spans="1:24" x14ac:dyDescent="0.25">
      <c r="A30" t="s">
        <v>99</v>
      </c>
      <c r="B30">
        <v>0</v>
      </c>
      <c r="C30">
        <v>1</v>
      </c>
      <c r="D30">
        <v>3</v>
      </c>
      <c r="F30" t="s">
        <v>100</v>
      </c>
      <c r="G30" s="2">
        <v>92830361</v>
      </c>
      <c r="H30" s="2">
        <v>0</v>
      </c>
      <c r="I30" s="2">
        <v>520167</v>
      </c>
      <c r="J30" s="1">
        <v>13333</v>
      </c>
      <c r="K30" s="2">
        <v>0</v>
      </c>
      <c r="L30" s="2">
        <v>61</v>
      </c>
      <c r="M30" t="s">
        <v>30</v>
      </c>
      <c r="N30" t="s">
        <v>99</v>
      </c>
      <c r="O30">
        <v>2</v>
      </c>
      <c r="P30">
        <v>5</v>
      </c>
      <c r="Q30">
        <v>120</v>
      </c>
      <c r="R30">
        <v>120</v>
      </c>
      <c r="S30">
        <v>60</v>
      </c>
      <c r="T30">
        <v>2019</v>
      </c>
      <c r="U30" t="s">
        <v>65</v>
      </c>
      <c r="V30">
        <v>4.5</v>
      </c>
      <c r="W30" t="s">
        <v>101</v>
      </c>
      <c r="X30" t="s">
        <v>75</v>
      </c>
    </row>
    <row r="31" spans="1:24" x14ac:dyDescent="0.25">
      <c r="A31" t="s">
        <v>102</v>
      </c>
      <c r="B31">
        <v>0</v>
      </c>
      <c r="C31">
        <v>1</v>
      </c>
      <c r="D31">
        <v>3</v>
      </c>
      <c r="G31" s="2">
        <v>18479696</v>
      </c>
      <c r="H31" s="2">
        <v>701392</v>
      </c>
      <c r="I31" s="2">
        <v>711858</v>
      </c>
      <c r="J31" s="1">
        <v>14851</v>
      </c>
      <c r="K31" s="2">
        <v>473</v>
      </c>
      <c r="L31" s="2">
        <v>109548</v>
      </c>
      <c r="M31" t="s">
        <v>30</v>
      </c>
      <c r="N31" t="s">
        <v>102</v>
      </c>
      <c r="O31">
        <v>2</v>
      </c>
      <c r="P31">
        <v>6</v>
      </c>
      <c r="Q31">
        <v>30</v>
      </c>
      <c r="R31">
        <v>30</v>
      </c>
      <c r="S31">
        <v>30</v>
      </c>
      <c r="T31">
        <v>2011</v>
      </c>
      <c r="U31" t="s">
        <v>68</v>
      </c>
      <c r="V31">
        <v>4.5</v>
      </c>
      <c r="W31" t="s">
        <v>31</v>
      </c>
      <c r="X31" t="s">
        <v>35</v>
      </c>
    </row>
    <row r="32" spans="1:24" x14ac:dyDescent="0.25">
      <c r="A32" t="s">
        <v>103</v>
      </c>
      <c r="B32">
        <v>0</v>
      </c>
      <c r="C32">
        <v>1</v>
      </c>
      <c r="D32">
        <v>3</v>
      </c>
      <c r="G32" s="2">
        <v>57858459</v>
      </c>
      <c r="H32" s="2">
        <v>717449</v>
      </c>
      <c r="I32" s="2">
        <v>729279</v>
      </c>
      <c r="J32" s="1">
        <v>12338</v>
      </c>
      <c r="K32" s="2">
        <v>323</v>
      </c>
      <c r="L32" s="2">
        <v>88261</v>
      </c>
      <c r="M32" t="s">
        <v>30</v>
      </c>
      <c r="N32" t="s">
        <v>103</v>
      </c>
      <c r="O32">
        <v>2</v>
      </c>
      <c r="P32">
        <v>4</v>
      </c>
      <c r="Q32">
        <v>25</v>
      </c>
      <c r="R32">
        <v>25</v>
      </c>
      <c r="S32">
        <v>15</v>
      </c>
      <c r="T32">
        <v>2016</v>
      </c>
      <c r="U32" t="s">
        <v>43</v>
      </c>
      <c r="V32">
        <v>2.4</v>
      </c>
      <c r="W32" t="s">
        <v>31</v>
      </c>
      <c r="X32" t="s">
        <v>40</v>
      </c>
    </row>
    <row r="33" spans="1:24" x14ac:dyDescent="0.25">
      <c r="A33" t="s">
        <v>104</v>
      </c>
      <c r="B33">
        <v>9</v>
      </c>
      <c r="C33">
        <v>1</v>
      </c>
      <c r="D33">
        <v>3</v>
      </c>
      <c r="G33" s="2">
        <v>36641236</v>
      </c>
      <c r="H33" s="2">
        <v>647985</v>
      </c>
      <c r="I33" s="2">
        <v>659738</v>
      </c>
      <c r="J33" s="1">
        <v>15201</v>
      </c>
      <c r="K33" s="2">
        <v>1335</v>
      </c>
      <c r="L33" s="2">
        <v>58320</v>
      </c>
      <c r="M33" t="s">
        <v>30</v>
      </c>
      <c r="N33" t="s">
        <v>104</v>
      </c>
      <c r="O33">
        <v>2</v>
      </c>
      <c r="P33">
        <v>4</v>
      </c>
      <c r="Q33">
        <v>30</v>
      </c>
      <c r="R33">
        <v>30</v>
      </c>
      <c r="S33">
        <v>30</v>
      </c>
      <c r="T33">
        <v>2012</v>
      </c>
      <c r="U33" t="s">
        <v>43</v>
      </c>
      <c r="V33">
        <v>4</v>
      </c>
      <c r="W33" t="s">
        <v>34</v>
      </c>
      <c r="X33" t="s">
        <v>35</v>
      </c>
    </row>
    <row r="34" spans="1:24" x14ac:dyDescent="0.25">
      <c r="A34" t="s">
        <v>105</v>
      </c>
      <c r="B34">
        <v>0</v>
      </c>
      <c r="C34">
        <v>1</v>
      </c>
      <c r="D34">
        <v>3</v>
      </c>
      <c r="G34" s="2">
        <v>36655692</v>
      </c>
      <c r="H34" s="2">
        <v>55659</v>
      </c>
      <c r="I34" s="2">
        <v>693682</v>
      </c>
      <c r="J34" t="s">
        <v>106</v>
      </c>
      <c r="K34" s="2">
        <v>11373</v>
      </c>
      <c r="L34" s="2">
        <v>234</v>
      </c>
      <c r="M34" t="s">
        <v>30</v>
      </c>
      <c r="N34" t="s">
        <v>105</v>
      </c>
      <c r="O34">
        <v>2</v>
      </c>
      <c r="P34">
        <v>5</v>
      </c>
      <c r="Q34">
        <v>30</v>
      </c>
      <c r="R34">
        <v>30</v>
      </c>
      <c r="S34">
        <v>30</v>
      </c>
      <c r="T34">
        <v>2014</v>
      </c>
      <c r="U34" t="s">
        <v>46</v>
      </c>
      <c r="V34">
        <v>4</v>
      </c>
      <c r="W34" t="s">
        <v>107</v>
      </c>
      <c r="X34" t="s">
        <v>35</v>
      </c>
    </row>
    <row r="35" spans="1:24" x14ac:dyDescent="0.25">
      <c r="A35" t="s">
        <v>108</v>
      </c>
      <c r="B35">
        <v>10</v>
      </c>
      <c r="C35">
        <v>1</v>
      </c>
      <c r="D35">
        <v>3</v>
      </c>
      <c r="G35" s="2">
        <v>23287556</v>
      </c>
      <c r="H35" s="2">
        <v>733465</v>
      </c>
      <c r="I35" s="2">
        <v>753311</v>
      </c>
      <c r="J35" s="1">
        <v>22735</v>
      </c>
      <c r="K35" s="2">
        <v>212</v>
      </c>
      <c r="L35" s="2">
        <v>42485</v>
      </c>
      <c r="M35" t="s">
        <v>30</v>
      </c>
      <c r="N35" t="s">
        <v>108</v>
      </c>
      <c r="O35">
        <v>2</v>
      </c>
      <c r="P35">
        <v>8</v>
      </c>
      <c r="Q35">
        <v>60</v>
      </c>
      <c r="R35">
        <v>60</v>
      </c>
      <c r="S35">
        <v>30</v>
      </c>
      <c r="T35">
        <v>2004</v>
      </c>
      <c r="U35">
        <v>2</v>
      </c>
      <c r="V35">
        <v>2</v>
      </c>
      <c r="W35" t="s">
        <v>34</v>
      </c>
      <c r="X35" t="s">
        <v>35</v>
      </c>
    </row>
    <row r="36" spans="1:24" x14ac:dyDescent="0.25">
      <c r="A36" t="s">
        <v>109</v>
      </c>
      <c r="B36">
        <v>10</v>
      </c>
      <c r="C36">
        <v>1</v>
      </c>
      <c r="D36">
        <v>3</v>
      </c>
      <c r="F36" t="s">
        <v>110</v>
      </c>
      <c r="G36" s="2">
        <v>22505089</v>
      </c>
      <c r="H36" s="2">
        <v>609136</v>
      </c>
      <c r="I36" s="2">
        <v>632209</v>
      </c>
      <c r="J36" s="1">
        <v>13162</v>
      </c>
      <c r="K36" s="2">
        <v>2644</v>
      </c>
      <c r="L36" s="2">
        <v>26990</v>
      </c>
      <c r="M36" t="s">
        <v>30</v>
      </c>
      <c r="N36" t="s">
        <v>109</v>
      </c>
      <c r="O36">
        <v>2</v>
      </c>
      <c r="P36">
        <v>5</v>
      </c>
      <c r="Q36">
        <v>15</v>
      </c>
      <c r="R36">
        <v>15</v>
      </c>
      <c r="S36">
        <v>15</v>
      </c>
      <c r="T36">
        <v>2008</v>
      </c>
      <c r="U36" t="s">
        <v>65</v>
      </c>
      <c r="V36">
        <v>4</v>
      </c>
      <c r="W36" t="s">
        <v>34</v>
      </c>
      <c r="X36" t="s">
        <v>32</v>
      </c>
    </row>
    <row r="37" spans="1:24" x14ac:dyDescent="0.25">
      <c r="A37" t="s">
        <v>111</v>
      </c>
      <c r="B37">
        <v>8</v>
      </c>
      <c r="C37">
        <v>1</v>
      </c>
      <c r="D37">
        <v>3</v>
      </c>
      <c r="F37" t="s">
        <v>112</v>
      </c>
      <c r="G37" s="2">
        <v>22498875</v>
      </c>
      <c r="H37" s="2">
        <v>575722</v>
      </c>
      <c r="I37" s="2">
        <v>612639</v>
      </c>
      <c r="J37" s="1">
        <v>10794</v>
      </c>
      <c r="K37" s="2">
        <v>5204</v>
      </c>
      <c r="L37" s="2">
        <v>2775</v>
      </c>
      <c r="M37" t="s">
        <v>30</v>
      </c>
      <c r="N37" t="s">
        <v>111</v>
      </c>
      <c r="O37">
        <v>2</v>
      </c>
      <c r="P37">
        <v>10</v>
      </c>
      <c r="Q37">
        <v>15</v>
      </c>
      <c r="R37">
        <v>15</v>
      </c>
      <c r="S37">
        <v>15</v>
      </c>
      <c r="T37">
        <v>2008</v>
      </c>
      <c r="U37" t="s">
        <v>68</v>
      </c>
      <c r="V37">
        <v>4</v>
      </c>
      <c r="W37" t="s">
        <v>31</v>
      </c>
      <c r="X37" t="s">
        <v>40</v>
      </c>
    </row>
    <row r="38" spans="1:24" x14ac:dyDescent="0.25">
      <c r="A38" t="s">
        <v>113</v>
      </c>
      <c r="B38">
        <v>8</v>
      </c>
      <c r="C38">
        <v>1</v>
      </c>
      <c r="D38">
        <v>3</v>
      </c>
      <c r="G38" s="2">
        <v>18480069</v>
      </c>
      <c r="H38" s="2">
        <v>569235</v>
      </c>
      <c r="I38" s="2">
        <v>587379</v>
      </c>
      <c r="J38" s="1">
        <v>18167</v>
      </c>
      <c r="K38" s="2">
        <v>6295</v>
      </c>
      <c r="L38" s="2">
        <v>100223</v>
      </c>
      <c r="M38" t="s">
        <v>30</v>
      </c>
      <c r="N38" t="s">
        <v>113</v>
      </c>
      <c r="O38">
        <v>3</v>
      </c>
      <c r="P38">
        <v>6</v>
      </c>
      <c r="Q38">
        <v>120</v>
      </c>
      <c r="R38">
        <v>120</v>
      </c>
      <c r="S38">
        <v>60</v>
      </c>
      <c r="T38">
        <v>2001</v>
      </c>
      <c r="U38" t="s">
        <v>68</v>
      </c>
      <c r="V38">
        <v>4</v>
      </c>
      <c r="W38" t="s">
        <v>39</v>
      </c>
      <c r="X38" t="s">
        <v>75</v>
      </c>
    </row>
    <row r="39" spans="1:24" x14ac:dyDescent="0.25">
      <c r="A39" t="s">
        <v>114</v>
      </c>
      <c r="B39">
        <v>7</v>
      </c>
      <c r="C39">
        <v>1</v>
      </c>
      <c r="D39">
        <v>3</v>
      </c>
      <c r="F39" t="s">
        <v>115</v>
      </c>
      <c r="G39" s="2">
        <v>18480116</v>
      </c>
      <c r="H39" s="2">
        <v>578888</v>
      </c>
      <c r="I39" s="2">
        <v>680584</v>
      </c>
      <c r="J39" s="1">
        <v>14483</v>
      </c>
      <c r="K39" s="2">
        <v>0</v>
      </c>
      <c r="L39" s="2">
        <v>1820</v>
      </c>
      <c r="M39" t="s">
        <v>30</v>
      </c>
      <c r="N39" t="s">
        <v>114</v>
      </c>
      <c r="O39">
        <v>2</v>
      </c>
      <c r="P39">
        <v>6</v>
      </c>
      <c r="Q39">
        <v>30</v>
      </c>
      <c r="R39">
        <v>30</v>
      </c>
      <c r="S39">
        <v>30</v>
      </c>
      <c r="T39">
        <v>2004</v>
      </c>
      <c r="U39" t="s">
        <v>68</v>
      </c>
      <c r="V39" t="s">
        <v>62</v>
      </c>
      <c r="W39" t="s">
        <v>34</v>
      </c>
      <c r="X39" t="s">
        <v>32</v>
      </c>
    </row>
    <row r="40" spans="1:24" x14ac:dyDescent="0.25">
      <c r="A40" t="s">
        <v>116</v>
      </c>
      <c r="B40">
        <v>9</v>
      </c>
      <c r="C40">
        <v>1</v>
      </c>
      <c r="D40">
        <v>3</v>
      </c>
      <c r="G40" s="2">
        <v>18480115</v>
      </c>
      <c r="H40" s="2">
        <v>613602</v>
      </c>
      <c r="I40" s="2">
        <v>635693</v>
      </c>
      <c r="J40" s="1">
        <v>1373</v>
      </c>
      <c r="K40" s="2">
        <v>2443</v>
      </c>
      <c r="L40" s="2">
        <v>18329</v>
      </c>
      <c r="M40" t="s">
        <v>30</v>
      </c>
      <c r="N40" t="s">
        <v>116</v>
      </c>
      <c r="O40">
        <v>2</v>
      </c>
      <c r="P40">
        <v>6</v>
      </c>
      <c r="Q40">
        <v>30</v>
      </c>
      <c r="R40">
        <v>30</v>
      </c>
      <c r="S40">
        <v>30</v>
      </c>
      <c r="T40">
        <v>1993</v>
      </c>
      <c r="U40" t="s">
        <v>68</v>
      </c>
      <c r="V40">
        <v>5.6</v>
      </c>
      <c r="W40" t="s">
        <v>34</v>
      </c>
      <c r="X40" t="s">
        <v>35</v>
      </c>
    </row>
    <row r="41" spans="1:24" x14ac:dyDescent="0.25">
      <c r="A41" t="s">
        <v>117</v>
      </c>
      <c r="B41">
        <v>8</v>
      </c>
      <c r="C41">
        <v>1</v>
      </c>
      <c r="D41">
        <v>3</v>
      </c>
      <c r="G41" s="2">
        <v>22498742</v>
      </c>
      <c r="H41" s="2">
        <v>741053</v>
      </c>
      <c r="I41" s="2">
        <v>751938</v>
      </c>
      <c r="J41" s="1">
        <v>23952</v>
      </c>
      <c r="K41" s="2">
        <v>165</v>
      </c>
      <c r="L41" s="2">
        <v>219879</v>
      </c>
      <c r="M41" t="s">
        <v>30</v>
      </c>
      <c r="N41" t="s">
        <v>117</v>
      </c>
      <c r="O41">
        <v>2</v>
      </c>
      <c r="P41">
        <v>4</v>
      </c>
      <c r="Q41">
        <v>45</v>
      </c>
      <c r="R41">
        <v>45</v>
      </c>
      <c r="S41">
        <v>45</v>
      </c>
      <c r="T41">
        <v>2008</v>
      </c>
      <c r="U41" t="s">
        <v>46</v>
      </c>
      <c r="V41">
        <v>4</v>
      </c>
      <c r="W41" t="s">
        <v>39</v>
      </c>
      <c r="X41" t="s">
        <v>32</v>
      </c>
    </row>
    <row r="42" spans="1:24" x14ac:dyDescent="0.25">
      <c r="A42" t="s">
        <v>118</v>
      </c>
      <c r="B42">
        <v>7</v>
      </c>
      <c r="C42">
        <v>1</v>
      </c>
      <c r="D42">
        <v>3</v>
      </c>
      <c r="G42" s="2">
        <v>50962280</v>
      </c>
      <c r="H42" s="2">
        <v>548589</v>
      </c>
      <c r="I42" s="2">
        <v>551493</v>
      </c>
      <c r="J42" s="1">
        <v>1625</v>
      </c>
      <c r="K42" s="2">
        <v>27314</v>
      </c>
      <c r="L42" s="2">
        <v>1018</v>
      </c>
      <c r="M42" t="s">
        <v>30</v>
      </c>
      <c r="N42" t="s">
        <v>118</v>
      </c>
      <c r="O42">
        <v>3</v>
      </c>
      <c r="P42">
        <v>6</v>
      </c>
      <c r="Q42">
        <v>45</v>
      </c>
      <c r="R42">
        <v>45</v>
      </c>
      <c r="S42">
        <v>20</v>
      </c>
      <c r="T42">
        <v>2017</v>
      </c>
      <c r="V42">
        <v>3</v>
      </c>
      <c r="W42">
        <v>14</v>
      </c>
    </row>
    <row r="43" spans="1:24" x14ac:dyDescent="0.25">
      <c r="A43" t="s">
        <v>119</v>
      </c>
      <c r="B43">
        <v>0</v>
      </c>
      <c r="C43">
        <v>1</v>
      </c>
      <c r="D43">
        <v>3</v>
      </c>
      <c r="G43" s="2">
        <v>22498985</v>
      </c>
      <c r="H43" s="2">
        <v>775642</v>
      </c>
      <c r="I43" s="2">
        <v>790041</v>
      </c>
      <c r="J43" s="1">
        <v>32679</v>
      </c>
      <c r="K43" s="2">
        <v>53</v>
      </c>
      <c r="L43" s="2">
        <v>84129</v>
      </c>
      <c r="M43" t="s">
        <v>30</v>
      </c>
      <c r="N43" t="s">
        <v>119</v>
      </c>
      <c r="O43">
        <v>3</v>
      </c>
      <c r="P43">
        <v>5</v>
      </c>
      <c r="Q43">
        <v>150</v>
      </c>
      <c r="R43">
        <v>150</v>
      </c>
      <c r="S43">
        <v>90</v>
      </c>
      <c r="T43">
        <v>2002</v>
      </c>
      <c r="U43" t="s">
        <v>65</v>
      </c>
      <c r="V43">
        <v>4</v>
      </c>
      <c r="W43" t="s">
        <v>107</v>
      </c>
      <c r="X43" t="s">
        <v>35</v>
      </c>
    </row>
    <row r="44" spans="1:24" x14ac:dyDescent="0.25">
      <c r="A44" t="s">
        <v>120</v>
      </c>
      <c r="B44">
        <v>7</v>
      </c>
      <c r="C44">
        <v>1</v>
      </c>
      <c r="D44">
        <v>3</v>
      </c>
      <c r="G44" s="2">
        <v>30793123</v>
      </c>
      <c r="H44" s="2">
        <v>651008</v>
      </c>
      <c r="I44" s="2">
        <v>673058</v>
      </c>
      <c r="J44" s="1">
        <v>19702</v>
      </c>
      <c r="K44" s="2">
        <v>1261</v>
      </c>
      <c r="L44" s="2">
        <v>18375</v>
      </c>
      <c r="M44" t="s">
        <v>30</v>
      </c>
      <c r="N44" t="s">
        <v>120</v>
      </c>
      <c r="O44">
        <v>2</v>
      </c>
      <c r="P44">
        <v>4</v>
      </c>
      <c r="Q44">
        <v>30</v>
      </c>
      <c r="R44">
        <v>30</v>
      </c>
      <c r="S44">
        <v>30</v>
      </c>
      <c r="T44">
        <v>2011</v>
      </c>
      <c r="U44" t="s">
        <v>43</v>
      </c>
      <c r="V44">
        <v>3</v>
      </c>
      <c r="W44" t="s">
        <v>34</v>
      </c>
      <c r="X44" t="s">
        <v>35</v>
      </c>
    </row>
    <row r="45" spans="1:24" x14ac:dyDescent="0.25">
      <c r="A45" t="s">
        <v>121</v>
      </c>
      <c r="B45">
        <v>0</v>
      </c>
      <c r="C45">
        <v>1</v>
      </c>
      <c r="D45">
        <v>3</v>
      </c>
      <c r="G45" s="2">
        <v>22507394</v>
      </c>
      <c r="H45" s="2">
        <v>561762</v>
      </c>
      <c r="I45" s="2">
        <v>70304</v>
      </c>
      <c r="J45" t="s">
        <v>29</v>
      </c>
      <c r="K45" s="2">
        <v>8354</v>
      </c>
      <c r="L45" s="2">
        <v>283</v>
      </c>
      <c r="M45" t="s">
        <v>30</v>
      </c>
      <c r="N45" t="s">
        <v>121</v>
      </c>
      <c r="O45">
        <v>3</v>
      </c>
      <c r="P45">
        <v>5</v>
      </c>
      <c r="Q45">
        <v>50</v>
      </c>
      <c r="R45">
        <v>50</v>
      </c>
      <c r="S45">
        <v>50</v>
      </c>
      <c r="T45">
        <v>2011</v>
      </c>
      <c r="U45" t="s">
        <v>52</v>
      </c>
      <c r="V45">
        <v>5</v>
      </c>
      <c r="W45" t="s">
        <v>34</v>
      </c>
      <c r="X45" t="s">
        <v>40</v>
      </c>
    </row>
    <row r="46" spans="1:24" x14ac:dyDescent="0.25">
      <c r="A46" t="s">
        <v>122</v>
      </c>
      <c r="B46">
        <v>8</v>
      </c>
      <c r="C46">
        <v>1</v>
      </c>
      <c r="D46">
        <v>3</v>
      </c>
      <c r="G46" s="2">
        <v>22501861</v>
      </c>
      <c r="H46" s="2">
        <v>68768</v>
      </c>
      <c r="I46" s="2">
        <v>704758</v>
      </c>
      <c r="J46" s="1">
        <v>24285</v>
      </c>
      <c r="K46" s="2">
        <v>640</v>
      </c>
      <c r="L46" s="2">
        <v>28168</v>
      </c>
      <c r="M46" t="s">
        <v>30</v>
      </c>
      <c r="N46" t="s">
        <v>122</v>
      </c>
      <c r="O46">
        <v>2</v>
      </c>
      <c r="P46">
        <v>8</v>
      </c>
      <c r="Q46">
        <v>120</v>
      </c>
      <c r="R46">
        <v>120</v>
      </c>
      <c r="S46">
        <v>45</v>
      </c>
      <c r="T46">
        <v>1994</v>
      </c>
      <c r="U46" t="s">
        <v>123</v>
      </c>
      <c r="V46">
        <v>5.6</v>
      </c>
      <c r="W46" t="s">
        <v>39</v>
      </c>
      <c r="X46" t="s">
        <v>35</v>
      </c>
    </row>
    <row r="47" spans="1:24" x14ac:dyDescent="0.25">
      <c r="A47" t="s">
        <v>124</v>
      </c>
      <c r="B47">
        <v>10</v>
      </c>
      <c r="C47">
        <v>1</v>
      </c>
      <c r="D47">
        <v>3</v>
      </c>
      <c r="G47" s="2">
        <v>36641277</v>
      </c>
      <c r="H47" s="2">
        <v>592623</v>
      </c>
      <c r="I47" s="2">
        <v>622214</v>
      </c>
      <c r="J47" s="1">
        <v>11111</v>
      </c>
      <c r="K47" s="2">
        <v>3586</v>
      </c>
      <c r="L47" s="2">
        <v>11807</v>
      </c>
      <c r="M47" t="s">
        <v>30</v>
      </c>
      <c r="N47" t="s">
        <v>124</v>
      </c>
      <c r="O47">
        <v>1</v>
      </c>
      <c r="P47">
        <v>12</v>
      </c>
      <c r="Q47">
        <v>20</v>
      </c>
      <c r="R47">
        <v>20</v>
      </c>
      <c r="S47">
        <v>20</v>
      </c>
      <c r="T47">
        <v>2005</v>
      </c>
      <c r="U47" t="s">
        <v>125</v>
      </c>
      <c r="V47" t="s">
        <v>43</v>
      </c>
      <c r="W47" t="s">
        <v>126</v>
      </c>
      <c r="X47" t="s">
        <v>40</v>
      </c>
    </row>
    <row r="48" spans="1:24" x14ac:dyDescent="0.25">
      <c r="A48" t="s">
        <v>127</v>
      </c>
      <c r="B48">
        <v>7</v>
      </c>
      <c r="C48">
        <v>1</v>
      </c>
      <c r="D48">
        <v>3</v>
      </c>
      <c r="G48" s="2">
        <v>23287563</v>
      </c>
      <c r="H48" s="2">
        <v>619109</v>
      </c>
      <c r="I48" s="2">
        <v>667685</v>
      </c>
      <c r="J48" s="1">
        <v>17543</v>
      </c>
      <c r="K48" s="2">
        <v>2221</v>
      </c>
      <c r="L48" s="2">
        <v>7580</v>
      </c>
      <c r="M48" t="s">
        <v>30</v>
      </c>
      <c r="N48" t="s">
        <v>127</v>
      </c>
      <c r="O48">
        <v>3</v>
      </c>
      <c r="P48">
        <v>7</v>
      </c>
      <c r="Q48">
        <v>40</v>
      </c>
      <c r="R48">
        <v>40</v>
      </c>
      <c r="S48">
        <v>20</v>
      </c>
      <c r="T48">
        <v>2012</v>
      </c>
      <c r="U48" t="s">
        <v>128</v>
      </c>
      <c r="V48">
        <v>7</v>
      </c>
      <c r="W48" t="s">
        <v>34</v>
      </c>
      <c r="X48" t="s">
        <v>32</v>
      </c>
    </row>
    <row r="49" spans="1:25" x14ac:dyDescent="0.25">
      <c r="A49" t="s">
        <v>129</v>
      </c>
      <c r="B49">
        <v>0</v>
      </c>
      <c r="C49">
        <v>1</v>
      </c>
      <c r="D49">
        <v>3</v>
      </c>
      <c r="G49" s="2">
        <v>92830348</v>
      </c>
      <c r="H49" s="2">
        <v>57356</v>
      </c>
      <c r="I49" s="2">
        <v>739103</v>
      </c>
      <c r="J49" s="1">
        <v>23333</v>
      </c>
      <c r="K49" s="2">
        <v>5534</v>
      </c>
      <c r="L49" s="2">
        <v>777</v>
      </c>
      <c r="M49" t="s">
        <v>30</v>
      </c>
      <c r="N49" t="s">
        <v>129</v>
      </c>
      <c r="O49">
        <v>1</v>
      </c>
      <c r="P49">
        <v>6</v>
      </c>
      <c r="Q49">
        <v>90</v>
      </c>
      <c r="R49">
        <v>90</v>
      </c>
      <c r="S49">
        <v>15</v>
      </c>
      <c r="T49">
        <v>2020</v>
      </c>
      <c r="U49" t="s">
        <v>78</v>
      </c>
      <c r="V49">
        <v>2</v>
      </c>
      <c r="W49" t="s">
        <v>39</v>
      </c>
      <c r="X49" t="s">
        <v>40</v>
      </c>
    </row>
    <row r="50" spans="1:25" x14ac:dyDescent="0.25">
      <c r="A50" t="s">
        <v>130</v>
      </c>
      <c r="B50">
        <v>0</v>
      </c>
      <c r="C50">
        <v>1</v>
      </c>
      <c r="D50">
        <v>3</v>
      </c>
      <c r="F50" t="s">
        <v>131</v>
      </c>
      <c r="G50" s="2">
        <v>86084155</v>
      </c>
      <c r="H50" s="2">
        <v>55319</v>
      </c>
      <c r="I50" s="2">
        <v>7128</v>
      </c>
      <c r="J50" s="1">
        <v>13333</v>
      </c>
      <c r="K50" s="2">
        <v>15797</v>
      </c>
      <c r="L50" s="2">
        <v>159</v>
      </c>
      <c r="M50" t="s">
        <v>30</v>
      </c>
      <c r="N50" t="s">
        <v>130</v>
      </c>
      <c r="O50">
        <v>3</v>
      </c>
      <c r="P50">
        <v>6</v>
      </c>
      <c r="Q50">
        <v>20</v>
      </c>
      <c r="R50">
        <v>20</v>
      </c>
      <c r="S50">
        <v>20</v>
      </c>
      <c r="T50">
        <v>2019</v>
      </c>
      <c r="U50" t="s">
        <v>68</v>
      </c>
      <c r="V50">
        <v>3.4</v>
      </c>
      <c r="W50" t="s">
        <v>34</v>
      </c>
    </row>
    <row r="51" spans="1:25" x14ac:dyDescent="0.25">
      <c r="A51" t="s">
        <v>132</v>
      </c>
      <c r="B51">
        <v>10</v>
      </c>
      <c r="C51">
        <v>1</v>
      </c>
      <c r="D51">
        <v>3</v>
      </c>
      <c r="G51" s="2">
        <v>30696796</v>
      </c>
      <c r="H51" s="2">
        <v>708934</v>
      </c>
      <c r="I51" s="2">
        <v>719487</v>
      </c>
      <c r="J51" s="1">
        <v>23467</v>
      </c>
      <c r="K51" s="2">
        <v>400</v>
      </c>
      <c r="L51" s="2">
        <v>102204</v>
      </c>
      <c r="M51" t="s">
        <v>30</v>
      </c>
      <c r="N51" t="s">
        <v>132</v>
      </c>
      <c r="O51">
        <v>2</v>
      </c>
      <c r="P51">
        <v>5</v>
      </c>
      <c r="Q51">
        <v>80</v>
      </c>
      <c r="R51">
        <v>80</v>
      </c>
      <c r="S51">
        <v>40</v>
      </c>
      <c r="T51">
        <v>2009</v>
      </c>
      <c r="U51" t="s">
        <v>65</v>
      </c>
      <c r="V51">
        <v>4</v>
      </c>
      <c r="W51" t="s">
        <v>34</v>
      </c>
      <c r="X51" t="s">
        <v>40</v>
      </c>
    </row>
    <row r="52" spans="1:25" x14ac:dyDescent="0.25">
      <c r="A52" t="s">
        <v>133</v>
      </c>
      <c r="B52">
        <v>7</v>
      </c>
      <c r="C52">
        <v>1</v>
      </c>
      <c r="D52">
        <v>3</v>
      </c>
      <c r="G52" s="2">
        <v>18480059</v>
      </c>
      <c r="H52" s="2">
        <v>674725</v>
      </c>
      <c r="I52" s="2">
        <v>721787</v>
      </c>
      <c r="J52" s="1">
        <v>23333</v>
      </c>
      <c r="K52" s="2">
        <v>816</v>
      </c>
      <c r="L52" s="2">
        <v>6221</v>
      </c>
      <c r="M52" t="s">
        <v>30</v>
      </c>
      <c r="N52" t="s">
        <v>133</v>
      </c>
      <c r="O52">
        <v>2</v>
      </c>
      <c r="P52">
        <v>4</v>
      </c>
      <c r="Q52">
        <v>60</v>
      </c>
      <c r="R52">
        <v>60</v>
      </c>
      <c r="S52">
        <v>30</v>
      </c>
      <c r="T52">
        <v>2009</v>
      </c>
      <c r="U52">
        <v>2.4</v>
      </c>
      <c r="V52">
        <v>2</v>
      </c>
      <c r="W52" t="s">
        <v>34</v>
      </c>
      <c r="X52" t="s">
        <v>35</v>
      </c>
    </row>
    <row r="53" spans="1:25" x14ac:dyDescent="0.25">
      <c r="A53" t="s">
        <v>134</v>
      </c>
      <c r="B53">
        <v>8</v>
      </c>
      <c r="C53">
        <v>1</v>
      </c>
      <c r="D53">
        <v>3</v>
      </c>
      <c r="F53" t="s">
        <v>135</v>
      </c>
      <c r="G53" s="2">
        <v>30793045</v>
      </c>
      <c r="H53" s="2">
        <v>706118</v>
      </c>
      <c r="I53" s="2">
        <v>719929</v>
      </c>
      <c r="J53" s="1">
        <v>19728</v>
      </c>
      <c r="K53" s="2">
        <v>428</v>
      </c>
      <c r="L53" s="2">
        <v>75943</v>
      </c>
      <c r="M53" t="s">
        <v>30</v>
      </c>
      <c r="N53" t="s">
        <v>134</v>
      </c>
      <c r="O53">
        <v>2</v>
      </c>
      <c r="P53">
        <v>4</v>
      </c>
      <c r="Q53">
        <v>45</v>
      </c>
      <c r="R53">
        <v>45</v>
      </c>
      <c r="S53">
        <v>45</v>
      </c>
      <c r="T53">
        <v>2011</v>
      </c>
      <c r="U53" t="s">
        <v>43</v>
      </c>
      <c r="V53">
        <v>3</v>
      </c>
      <c r="W53" t="s">
        <v>34</v>
      </c>
      <c r="X53" t="s">
        <v>40</v>
      </c>
    </row>
    <row r="54" spans="1:25" x14ac:dyDescent="0.25">
      <c r="A54" t="s">
        <v>136</v>
      </c>
      <c r="B54">
        <v>6</v>
      </c>
      <c r="C54">
        <v>1</v>
      </c>
      <c r="D54">
        <v>3</v>
      </c>
      <c r="G54" s="2">
        <v>30696905</v>
      </c>
      <c r="H54" s="2">
        <v>622891</v>
      </c>
      <c r="I54" s="2">
        <v>650513</v>
      </c>
      <c r="J54" s="1">
        <v>21714</v>
      </c>
      <c r="K54" s="2">
        <v>2070</v>
      </c>
      <c r="L54" s="2">
        <v>25163</v>
      </c>
      <c r="M54" t="s">
        <v>30</v>
      </c>
      <c r="N54" t="s">
        <v>136</v>
      </c>
      <c r="O54">
        <v>2</v>
      </c>
      <c r="P54">
        <v>6</v>
      </c>
      <c r="Q54">
        <v>90</v>
      </c>
      <c r="R54">
        <v>90</v>
      </c>
      <c r="S54">
        <v>90</v>
      </c>
      <c r="T54">
        <v>2007</v>
      </c>
      <c r="U54" t="s">
        <v>74</v>
      </c>
      <c r="V54">
        <v>4</v>
      </c>
      <c r="W54" t="s">
        <v>34</v>
      </c>
      <c r="X54" t="s">
        <v>75</v>
      </c>
    </row>
    <row r="55" spans="1:25" x14ac:dyDescent="0.25">
      <c r="A55" t="s">
        <v>137</v>
      </c>
      <c r="B55">
        <v>7</v>
      </c>
      <c r="C55">
        <v>1</v>
      </c>
      <c r="D55">
        <v>3</v>
      </c>
      <c r="G55" s="2">
        <v>22498968</v>
      </c>
      <c r="H55" s="2">
        <v>0</v>
      </c>
      <c r="I55" s="2">
        <v>7</v>
      </c>
      <c r="J55">
        <v>0</v>
      </c>
      <c r="K55" s="2">
        <v>0</v>
      </c>
      <c r="L55" s="2">
        <v>10</v>
      </c>
      <c r="M55" t="s">
        <v>30</v>
      </c>
      <c r="N55" t="s">
        <v>137</v>
      </c>
      <c r="O55">
        <v>3</v>
      </c>
      <c r="P55">
        <v>8</v>
      </c>
      <c r="Q55">
        <v>60</v>
      </c>
      <c r="R55">
        <v>60</v>
      </c>
      <c r="S55">
        <v>60</v>
      </c>
      <c r="T55">
        <v>1974</v>
      </c>
      <c r="X55" t="s">
        <v>40</v>
      </c>
    </row>
    <row r="56" spans="1:25" x14ac:dyDescent="0.25">
      <c r="A56" t="s">
        <v>138</v>
      </c>
      <c r="B56">
        <v>3</v>
      </c>
      <c r="C56">
        <v>1</v>
      </c>
      <c r="D56">
        <v>3</v>
      </c>
      <c r="G56" s="2">
        <v>36641253</v>
      </c>
      <c r="H56" s="2">
        <v>528412</v>
      </c>
      <c r="I56" s="2">
        <v>502155</v>
      </c>
      <c r="J56">
        <v>1</v>
      </c>
      <c r="K56" s="2">
        <v>29465</v>
      </c>
      <c r="L56" s="2">
        <v>4119</v>
      </c>
      <c r="M56" t="s">
        <v>30</v>
      </c>
      <c r="N56" t="s">
        <v>138</v>
      </c>
      <c r="O56">
        <v>2</v>
      </c>
      <c r="P56">
        <v>4</v>
      </c>
      <c r="Q56">
        <v>5</v>
      </c>
      <c r="R56">
        <v>5</v>
      </c>
      <c r="S56">
        <v>1</v>
      </c>
      <c r="T56">
        <v>2011</v>
      </c>
      <c r="U56" t="s">
        <v>43</v>
      </c>
      <c r="V56">
        <v>4</v>
      </c>
      <c r="W56" t="s">
        <v>139</v>
      </c>
      <c r="X56" t="s">
        <v>40</v>
      </c>
    </row>
    <row r="57" spans="1:25" x14ac:dyDescent="0.25">
      <c r="A57" t="s">
        <v>140</v>
      </c>
      <c r="B57">
        <v>9</v>
      </c>
      <c r="C57">
        <v>1</v>
      </c>
      <c r="D57">
        <v>3</v>
      </c>
      <c r="F57" t="s">
        <v>141</v>
      </c>
      <c r="G57" s="2">
        <v>30793035</v>
      </c>
      <c r="H57" s="2">
        <v>726391</v>
      </c>
      <c r="I57" s="2">
        <v>738675</v>
      </c>
      <c r="J57" s="1">
        <v>18212</v>
      </c>
      <c r="K57" s="2">
        <v>252</v>
      </c>
      <c r="L57" s="2">
        <v>143633</v>
      </c>
      <c r="M57" t="s">
        <v>30</v>
      </c>
      <c r="N57" t="s">
        <v>140</v>
      </c>
      <c r="O57">
        <v>2</v>
      </c>
      <c r="P57">
        <v>5</v>
      </c>
      <c r="Q57">
        <v>60</v>
      </c>
      <c r="R57">
        <v>60</v>
      </c>
      <c r="S57">
        <v>30</v>
      </c>
      <c r="T57">
        <v>2004</v>
      </c>
      <c r="U57" t="s">
        <v>65</v>
      </c>
      <c r="V57">
        <v>4</v>
      </c>
      <c r="W57" t="s">
        <v>34</v>
      </c>
      <c r="X57" t="s">
        <v>40</v>
      </c>
    </row>
    <row r="58" spans="1:25" x14ac:dyDescent="0.25">
      <c r="A58" t="s">
        <v>142</v>
      </c>
      <c r="B58">
        <v>9</v>
      </c>
      <c r="C58">
        <v>1</v>
      </c>
      <c r="D58">
        <v>3</v>
      </c>
      <c r="G58" s="2">
        <v>30696834</v>
      </c>
      <c r="H58" s="2">
        <v>641698</v>
      </c>
      <c r="I58" s="2">
        <v>669623</v>
      </c>
      <c r="J58" s="1">
        <v>10919</v>
      </c>
      <c r="K58" s="2">
        <v>1501</v>
      </c>
      <c r="L58" s="2">
        <v>15726</v>
      </c>
      <c r="M58" t="s">
        <v>30</v>
      </c>
      <c r="N58" t="s">
        <v>142</v>
      </c>
      <c r="O58">
        <v>2</v>
      </c>
      <c r="P58">
        <v>8</v>
      </c>
      <c r="Q58">
        <v>15</v>
      </c>
      <c r="R58">
        <v>15</v>
      </c>
      <c r="S58">
        <v>15</v>
      </c>
      <c r="T58">
        <v>2010</v>
      </c>
      <c r="U58" t="s">
        <v>143</v>
      </c>
      <c r="V58">
        <v>4</v>
      </c>
      <c r="W58" t="s">
        <v>34</v>
      </c>
      <c r="X58" t="s">
        <v>35</v>
      </c>
    </row>
    <row r="59" spans="1:25" x14ac:dyDescent="0.25">
      <c r="A59" t="s">
        <v>144</v>
      </c>
      <c r="B59">
        <v>9</v>
      </c>
      <c r="C59">
        <v>1</v>
      </c>
      <c r="D59">
        <v>3</v>
      </c>
      <c r="F59" t="s">
        <v>145</v>
      </c>
      <c r="G59" s="2">
        <v>30696952</v>
      </c>
      <c r="H59" s="2">
        <v>625555</v>
      </c>
      <c r="I59" s="2">
        <v>670892</v>
      </c>
      <c r="J59" s="1">
        <v>11587</v>
      </c>
      <c r="K59" s="2">
        <v>1963</v>
      </c>
      <c r="L59" s="2">
        <v>8013</v>
      </c>
      <c r="M59" t="s">
        <v>30</v>
      </c>
      <c r="N59" t="s">
        <v>144</v>
      </c>
      <c r="O59">
        <v>2</v>
      </c>
      <c r="P59">
        <v>8</v>
      </c>
      <c r="Q59">
        <v>15</v>
      </c>
      <c r="R59">
        <v>15</v>
      </c>
      <c r="S59">
        <v>15</v>
      </c>
      <c r="T59">
        <v>2011</v>
      </c>
      <c r="U59" t="s">
        <v>143</v>
      </c>
      <c r="V59">
        <v>4.5</v>
      </c>
      <c r="W59" t="s">
        <v>39</v>
      </c>
      <c r="X59" t="s">
        <v>75</v>
      </c>
    </row>
    <row r="60" spans="1:25" x14ac:dyDescent="0.25">
      <c r="A60" t="s">
        <v>146</v>
      </c>
      <c r="B60">
        <v>6</v>
      </c>
      <c r="C60">
        <v>1</v>
      </c>
      <c r="D60">
        <v>3</v>
      </c>
      <c r="G60" s="2">
        <v>36655647</v>
      </c>
      <c r="H60" s="2">
        <v>541794</v>
      </c>
      <c r="I60" s="2">
        <v>485387</v>
      </c>
      <c r="J60">
        <v>1</v>
      </c>
      <c r="K60" s="2">
        <v>29247</v>
      </c>
      <c r="L60" s="2">
        <v>1548</v>
      </c>
      <c r="M60" t="s">
        <v>30</v>
      </c>
      <c r="N60" t="s">
        <v>146</v>
      </c>
      <c r="O60">
        <v>2</v>
      </c>
      <c r="P60">
        <v>2</v>
      </c>
      <c r="Q60">
        <v>5</v>
      </c>
      <c r="R60">
        <v>5</v>
      </c>
      <c r="S60">
        <v>5</v>
      </c>
      <c r="T60">
        <v>2015</v>
      </c>
      <c r="U60">
        <v>2</v>
      </c>
      <c r="V60">
        <v>2</v>
      </c>
      <c r="X60" t="s">
        <v>32</v>
      </c>
    </row>
    <row r="61" spans="1:25" x14ac:dyDescent="0.25">
      <c r="A61" t="s">
        <v>147</v>
      </c>
      <c r="B61">
        <v>7</v>
      </c>
      <c r="C61">
        <v>1</v>
      </c>
      <c r="D61">
        <v>3</v>
      </c>
      <c r="F61" t="s">
        <v>148</v>
      </c>
      <c r="G61" s="2">
        <v>22505094</v>
      </c>
      <c r="H61" s="2">
        <v>534862</v>
      </c>
      <c r="I61" s="2">
        <v>547496</v>
      </c>
      <c r="J61" s="1">
        <v>1101</v>
      </c>
      <c r="K61" s="2">
        <v>29409</v>
      </c>
      <c r="L61" s="2">
        <v>69365</v>
      </c>
      <c r="M61" t="s">
        <v>30</v>
      </c>
      <c r="N61" t="s">
        <v>147</v>
      </c>
      <c r="O61">
        <v>2</v>
      </c>
      <c r="P61">
        <v>10</v>
      </c>
      <c r="Q61">
        <v>30</v>
      </c>
      <c r="R61">
        <v>30</v>
      </c>
      <c r="S61">
        <v>30</v>
      </c>
      <c r="T61">
        <v>1971</v>
      </c>
      <c r="U61" t="s">
        <v>123</v>
      </c>
      <c r="V61" t="s">
        <v>62</v>
      </c>
      <c r="W61" t="s">
        <v>139</v>
      </c>
      <c r="X61" t="s">
        <v>40</v>
      </c>
    </row>
    <row r="62" spans="1:25" x14ac:dyDescent="0.25">
      <c r="A62" t="s">
        <v>149</v>
      </c>
      <c r="B62">
        <v>7</v>
      </c>
      <c r="C62">
        <v>1</v>
      </c>
      <c r="D62">
        <v>3</v>
      </c>
      <c r="G62" s="2">
        <v>22498819</v>
      </c>
      <c r="H62" s="2">
        <v>556379</v>
      </c>
      <c r="I62" s="2">
        <v>671066</v>
      </c>
      <c r="J62" s="1">
        <v>1913</v>
      </c>
      <c r="K62" s="2">
        <v>11554</v>
      </c>
      <c r="L62" s="2">
        <v>238</v>
      </c>
      <c r="M62" t="s">
        <v>30</v>
      </c>
      <c r="N62" t="s">
        <v>149</v>
      </c>
      <c r="O62">
        <v>2</v>
      </c>
      <c r="P62">
        <v>5</v>
      </c>
      <c r="Q62">
        <v>60</v>
      </c>
      <c r="R62">
        <v>60</v>
      </c>
      <c r="S62">
        <v>60</v>
      </c>
      <c r="T62">
        <v>2011</v>
      </c>
      <c r="U62" t="s">
        <v>52</v>
      </c>
      <c r="V62">
        <v>4</v>
      </c>
      <c r="W62" t="s">
        <v>39</v>
      </c>
      <c r="X62" t="s">
        <v>40</v>
      </c>
    </row>
    <row r="63" spans="1:25" x14ac:dyDescent="0.25">
      <c r="A63" t="s">
        <v>150</v>
      </c>
      <c r="B63">
        <v>9</v>
      </c>
      <c r="C63">
        <v>1</v>
      </c>
      <c r="D63">
        <v>3</v>
      </c>
      <c r="G63" s="2">
        <v>22498773</v>
      </c>
      <c r="H63" s="2">
        <v>578319</v>
      </c>
      <c r="I63" s="2">
        <v>599216</v>
      </c>
      <c r="J63" s="1">
        <v>14375</v>
      </c>
      <c r="K63" s="2">
        <v>4878</v>
      </c>
      <c r="L63" s="2">
        <v>14911</v>
      </c>
      <c r="M63" t="s">
        <v>30</v>
      </c>
      <c r="N63" t="s">
        <v>150</v>
      </c>
      <c r="O63">
        <v>2</v>
      </c>
      <c r="P63">
        <v>6</v>
      </c>
      <c r="Q63">
        <v>40</v>
      </c>
      <c r="R63">
        <v>40</v>
      </c>
      <c r="S63">
        <v>10</v>
      </c>
      <c r="T63">
        <v>2007</v>
      </c>
      <c r="U63" t="s">
        <v>74</v>
      </c>
      <c r="V63">
        <v>4</v>
      </c>
      <c r="W63" t="s">
        <v>34</v>
      </c>
      <c r="X63" t="s">
        <v>75</v>
      </c>
      <c r="Y63" t="s">
        <v>151</v>
      </c>
    </row>
    <row r="64" spans="1:25" x14ac:dyDescent="0.25">
      <c r="A64" t="s">
        <v>152</v>
      </c>
      <c r="B64">
        <v>9</v>
      </c>
      <c r="C64">
        <v>1</v>
      </c>
      <c r="D64">
        <v>3</v>
      </c>
      <c r="F64" t="s">
        <v>153</v>
      </c>
    </row>
    <row r="65" spans="1:6" x14ac:dyDescent="0.25">
      <c r="A65" t="s">
        <v>154</v>
      </c>
      <c r="B65">
        <v>9</v>
      </c>
      <c r="C65">
        <v>1</v>
      </c>
      <c r="D65">
        <v>3</v>
      </c>
      <c r="F65" t="s">
        <v>155</v>
      </c>
    </row>
    <row r="66" spans="1:6" x14ac:dyDescent="0.25">
      <c r="A66" t="s">
        <v>156</v>
      </c>
      <c r="F66" t="s">
        <v>157</v>
      </c>
    </row>
    <row r="67" spans="1:6" x14ac:dyDescent="0.25">
      <c r="A67" t="s">
        <v>158</v>
      </c>
    </row>
    <row r="68" spans="1:6" x14ac:dyDescent="0.25">
      <c r="A68" t="s">
        <v>159</v>
      </c>
    </row>
    <row r="69" spans="1:6" x14ac:dyDescent="0.25">
      <c r="A69" t="s">
        <v>160</v>
      </c>
    </row>
    <row r="70" spans="1:6" x14ac:dyDescent="0.25">
      <c r="A70" t="s">
        <v>161</v>
      </c>
    </row>
    <row r="71" spans="1:6" x14ac:dyDescent="0.25">
      <c r="A71" t="s">
        <v>162</v>
      </c>
      <c r="F7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collection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 Xexeo</cp:lastModifiedBy>
  <dcterms:created xsi:type="dcterms:W3CDTF">2025-11-21T01:06:44Z</dcterms:created>
  <dcterms:modified xsi:type="dcterms:W3CDTF">2025-12-07T02:07:42Z</dcterms:modified>
</cp:coreProperties>
</file>